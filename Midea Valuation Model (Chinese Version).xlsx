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大学\大学\CFA大赛\CFA大赛华北赛区\"/>
    </mc:Choice>
  </mc:AlternateContent>
  <xr:revisionPtr revIDLastSave="0" documentId="13_ncr:1_{8D442B46-A444-4BA1-A526-1A844FE6DC14}" xr6:coauthVersionLast="47" xr6:coauthVersionMax="47" xr10:uidLastSave="{00000000-0000-0000-0000-000000000000}"/>
  <bookViews>
    <workbookView xWindow="-110" yWindow="-110" windowWidth="21820" windowHeight="13900" tabRatio="802" xr2:uid="{00000000-000D-0000-FFFF-FFFF00000000}"/>
  </bookViews>
  <sheets>
    <sheet name="Cover" sheetId="15" r:id="rId1"/>
    <sheet name="Summary" sheetId="16" r:id="rId2"/>
    <sheet name="IS" sheetId="4" r:id="rId3"/>
    <sheet name="BS" sheetId="1" r:id="rId4"/>
    <sheet name="CF" sheetId="5" r:id="rId5"/>
    <sheet name="OWC" sheetId="9" r:id="rId6"/>
    <sheet name="DA" sheetId="6" r:id="rId7"/>
    <sheet name="收入拆分" sheetId="10" r:id="rId8"/>
    <sheet name="Assumptions" sheetId="8" r:id="rId9"/>
    <sheet name="FCFF估值" sheetId="2" r:id="rId10"/>
    <sheet name="可比公司估值" sheetId="12" r:id="rId11"/>
    <sheet name="估值结果汇总" sheetId="14" r:id="rId12"/>
  </sheets>
  <definedNames>
    <definedName name="_xlnm.Print_Area" localSheetId="8">Assumptions!$A$1:$W$84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6" l="1"/>
  <c r="F15" i="16"/>
  <c r="G15" i="16"/>
  <c r="H15" i="16"/>
  <c r="I15" i="16"/>
  <c r="J15" i="16"/>
  <c r="K15" i="16"/>
  <c r="E16" i="16"/>
  <c r="F16" i="16"/>
  <c r="G16" i="16"/>
  <c r="H16" i="16"/>
  <c r="I16" i="16"/>
  <c r="J16" i="16"/>
  <c r="K16" i="16"/>
  <c r="E17" i="16"/>
  <c r="F17" i="16"/>
  <c r="G17" i="16"/>
  <c r="H17" i="16"/>
  <c r="I17" i="16"/>
  <c r="J17" i="16"/>
  <c r="K17" i="16"/>
  <c r="E18" i="16"/>
  <c r="F18" i="16"/>
  <c r="G18" i="16"/>
  <c r="H18" i="16"/>
  <c r="I18" i="16"/>
  <c r="J18" i="16"/>
  <c r="K18" i="16"/>
  <c r="E21" i="16"/>
  <c r="F21" i="16"/>
  <c r="G21" i="16"/>
  <c r="H21" i="16"/>
  <c r="I21" i="16"/>
  <c r="J21" i="16"/>
  <c r="K21" i="16"/>
  <c r="E22" i="16"/>
  <c r="F22" i="16"/>
  <c r="G22" i="16"/>
  <c r="H22" i="16"/>
  <c r="I22" i="16"/>
  <c r="J22" i="16"/>
  <c r="K22" i="16"/>
  <c r="E23" i="16"/>
  <c r="F23" i="16"/>
  <c r="G23" i="16"/>
  <c r="H23" i="16"/>
  <c r="I23" i="16"/>
  <c r="J23" i="16"/>
  <c r="K23" i="16"/>
  <c r="E24" i="16"/>
  <c r="F24" i="16"/>
  <c r="G24" i="16"/>
  <c r="H24" i="16"/>
  <c r="I24" i="16"/>
  <c r="J24" i="16"/>
  <c r="K24" i="16"/>
  <c r="E26" i="16"/>
  <c r="F26" i="16"/>
  <c r="G26" i="16"/>
  <c r="H26" i="16"/>
  <c r="I26" i="16"/>
  <c r="J26" i="16"/>
  <c r="K26" i="16"/>
  <c r="E28" i="16"/>
  <c r="F28" i="16"/>
  <c r="G28" i="16"/>
  <c r="H28" i="16"/>
  <c r="I28" i="16"/>
  <c r="J28" i="16"/>
  <c r="K28" i="16"/>
  <c r="E29" i="16"/>
  <c r="F29" i="16"/>
  <c r="G29" i="16"/>
  <c r="H29" i="16"/>
  <c r="I29" i="16"/>
  <c r="J29" i="16"/>
  <c r="K29" i="16"/>
  <c r="E30" i="16"/>
  <c r="F30" i="16"/>
  <c r="G30" i="16"/>
  <c r="H30" i="16"/>
  <c r="I30" i="16"/>
  <c r="J30" i="16"/>
  <c r="K30" i="16"/>
  <c r="E31" i="16"/>
  <c r="F31" i="16"/>
  <c r="G31" i="16"/>
  <c r="H31" i="16"/>
  <c r="I31" i="16"/>
  <c r="J31" i="16"/>
  <c r="K31" i="16"/>
  <c r="E33" i="16"/>
  <c r="F33" i="16"/>
  <c r="G33" i="16"/>
  <c r="H33" i="16"/>
  <c r="I33" i="16"/>
  <c r="J33" i="16"/>
  <c r="K33" i="16"/>
  <c r="E34" i="16"/>
  <c r="F34" i="16"/>
  <c r="G34" i="16"/>
  <c r="H34" i="16"/>
  <c r="I34" i="16"/>
  <c r="J34" i="16"/>
  <c r="K34" i="16"/>
  <c r="E36" i="16"/>
  <c r="F36" i="16"/>
  <c r="G36" i="16"/>
  <c r="H36" i="16"/>
  <c r="I36" i="16"/>
  <c r="J36" i="16"/>
  <c r="K36" i="16"/>
  <c r="E37" i="16"/>
  <c r="F37" i="16"/>
  <c r="G37" i="16"/>
  <c r="H37" i="16"/>
  <c r="I37" i="16"/>
  <c r="J37" i="16"/>
  <c r="K37" i="16"/>
  <c r="E39" i="16"/>
  <c r="F39" i="16"/>
  <c r="G39" i="16"/>
  <c r="H39" i="16"/>
  <c r="I39" i="16"/>
  <c r="J39" i="16"/>
  <c r="K39" i="16"/>
  <c r="E40" i="16"/>
  <c r="F40" i="16"/>
  <c r="G40" i="16"/>
  <c r="H40" i="16"/>
  <c r="I40" i="16"/>
  <c r="J40" i="16"/>
  <c r="K40" i="16"/>
  <c r="E42" i="16"/>
  <c r="E43" i="16" s="1"/>
  <c r="F42" i="16"/>
  <c r="F43" i="16" s="1"/>
  <c r="G42" i="16"/>
  <c r="G43" i="16" s="1"/>
  <c r="H42" i="16"/>
  <c r="I42" i="16"/>
  <c r="I43" i="16" s="1"/>
  <c r="J42" i="16"/>
  <c r="K42" i="16"/>
  <c r="E45" i="16"/>
  <c r="F45" i="16"/>
  <c r="G45" i="16"/>
  <c r="H45" i="16"/>
  <c r="I45" i="16"/>
  <c r="J45" i="16"/>
  <c r="K45" i="16"/>
  <c r="J46" i="16"/>
  <c r="E49" i="16"/>
  <c r="F49" i="16"/>
  <c r="E52" i="16"/>
  <c r="F52" i="16"/>
  <c r="G52" i="16"/>
  <c r="H52" i="16"/>
  <c r="I52" i="16"/>
  <c r="J52" i="16"/>
  <c r="K52" i="16"/>
  <c r="K53" i="16" s="1"/>
  <c r="F6" i="5"/>
  <c r="D52" i="16"/>
  <c r="D49" i="16"/>
  <c r="D45" i="16"/>
  <c r="D42" i="16"/>
  <c r="D40" i="16"/>
  <c r="D39" i="16"/>
  <c r="D37" i="16"/>
  <c r="D33" i="16"/>
  <c r="D36" i="16"/>
  <c r="D34" i="16"/>
  <c r="D31" i="16"/>
  <c r="D30" i="16"/>
  <c r="D29" i="16"/>
  <c r="D28" i="16"/>
  <c r="D26" i="16"/>
  <c r="D18" i="16"/>
  <c r="D16" i="16"/>
  <c r="D17" i="16"/>
  <c r="D15" i="16"/>
  <c r="C11" i="16"/>
  <c r="C10" i="16"/>
  <c r="F4" i="14"/>
  <c r="D4" i="14"/>
  <c r="I18" i="12"/>
  <c r="G18" i="12"/>
  <c r="E18" i="12"/>
  <c r="G25" i="12" s="1"/>
  <c r="K15" i="12"/>
  <c r="J15" i="12"/>
  <c r="I15" i="12"/>
  <c r="H15" i="12"/>
  <c r="G15" i="12"/>
  <c r="F15" i="12"/>
  <c r="E15" i="12"/>
  <c r="D15" i="12"/>
  <c r="K14" i="12"/>
  <c r="J14" i="12"/>
  <c r="I14" i="12"/>
  <c r="H14" i="12"/>
  <c r="G14" i="12"/>
  <c r="F14" i="12"/>
  <c r="E14" i="12"/>
  <c r="D14" i="12"/>
  <c r="K13" i="12"/>
  <c r="J13" i="12"/>
  <c r="I13" i="12"/>
  <c r="H13" i="12"/>
  <c r="G13" i="12"/>
  <c r="F13" i="12"/>
  <c r="E13" i="12"/>
  <c r="D13" i="12"/>
  <c r="K12" i="12"/>
  <c r="J12" i="12"/>
  <c r="I12" i="12"/>
  <c r="H12" i="12"/>
  <c r="G12" i="12"/>
  <c r="F12" i="12"/>
  <c r="E12" i="12"/>
  <c r="D12" i="12"/>
  <c r="C73" i="2"/>
  <c r="F51" i="2"/>
  <c r="F53" i="2" s="1"/>
  <c r="F49" i="2"/>
  <c r="C80" i="2" s="1"/>
  <c r="F48" i="2"/>
  <c r="F44" i="2"/>
  <c r="F46" i="2" s="1"/>
  <c r="F32" i="2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Q38" i="2" s="1"/>
  <c r="H19" i="2"/>
  <c r="F15" i="2"/>
  <c r="J2" i="2"/>
  <c r="K2" i="2" s="1"/>
  <c r="L2" i="2" s="1"/>
  <c r="M2" i="2" s="1"/>
  <c r="N2" i="2" s="1"/>
  <c r="O2" i="2" s="1"/>
  <c r="P2" i="2" s="1"/>
  <c r="Q2" i="2" s="1"/>
  <c r="I2" i="2"/>
  <c r="H2" i="2"/>
  <c r="G2" i="2"/>
  <c r="F2" i="2"/>
  <c r="E2" i="2"/>
  <c r="D2" i="2"/>
  <c r="C2" i="2"/>
  <c r="F80" i="8"/>
  <c r="F74" i="8"/>
  <c r="C73" i="8"/>
  <c r="E69" i="8"/>
  <c r="E68" i="8"/>
  <c r="E67" i="8"/>
  <c r="L66" i="8"/>
  <c r="C66" i="8"/>
  <c r="J63" i="8"/>
  <c r="I63" i="8"/>
  <c r="H63" i="8"/>
  <c r="G63" i="8"/>
  <c r="E59" i="8"/>
  <c r="E60" i="8" s="1"/>
  <c r="E57" i="8"/>
  <c r="F56" i="8"/>
  <c r="E56" i="8"/>
  <c r="L55" i="8"/>
  <c r="F52" i="8"/>
  <c r="E52" i="8"/>
  <c r="E51" i="8"/>
  <c r="J50" i="8"/>
  <c r="I50" i="8"/>
  <c r="G50" i="8"/>
  <c r="F49" i="8"/>
  <c r="F51" i="8" s="1"/>
  <c r="G49" i="8" s="1"/>
  <c r="E49" i="8"/>
  <c r="E50" i="8" s="1"/>
  <c r="E43" i="8"/>
  <c r="F43" i="8" s="1"/>
  <c r="G43" i="8" s="1"/>
  <c r="H43" i="8" s="1"/>
  <c r="D43" i="8"/>
  <c r="C43" i="8"/>
  <c r="E42" i="8"/>
  <c r="F42" i="8" s="1"/>
  <c r="G42" i="8" s="1"/>
  <c r="D42" i="8"/>
  <c r="C42" i="8"/>
  <c r="E41" i="8"/>
  <c r="F41" i="8" s="1"/>
  <c r="D41" i="8"/>
  <c r="C41" i="8"/>
  <c r="D40" i="8"/>
  <c r="E37" i="8"/>
  <c r="E39" i="8" s="1"/>
  <c r="F39" i="8" s="1"/>
  <c r="G39" i="8" s="1"/>
  <c r="H39" i="8" s="1"/>
  <c r="I39" i="8" s="1"/>
  <c r="J39" i="8" s="1"/>
  <c r="D37" i="8"/>
  <c r="D39" i="8" s="1"/>
  <c r="C37" i="8"/>
  <c r="C39" i="8" s="1"/>
  <c r="E36" i="8"/>
  <c r="F36" i="8" s="1"/>
  <c r="D36" i="8"/>
  <c r="C36" i="8"/>
  <c r="E35" i="8"/>
  <c r="F35" i="8" s="1"/>
  <c r="D35" i="8"/>
  <c r="C35" i="8"/>
  <c r="E34" i="8"/>
  <c r="F34" i="8" s="1"/>
  <c r="D34" i="8"/>
  <c r="C34" i="8"/>
  <c r="E29" i="8"/>
  <c r="E33" i="8" s="1"/>
  <c r="F33" i="8" s="1"/>
  <c r="G33" i="8" s="1"/>
  <c r="H33" i="8" s="1"/>
  <c r="I33" i="8" s="1"/>
  <c r="J33" i="8" s="1"/>
  <c r="D29" i="8"/>
  <c r="C29" i="8"/>
  <c r="E28" i="8"/>
  <c r="D28" i="8"/>
  <c r="C28" i="8"/>
  <c r="E24" i="8"/>
  <c r="F24" i="8" s="1"/>
  <c r="G24" i="8" s="1"/>
  <c r="H24" i="8" s="1"/>
  <c r="I24" i="8" s="1"/>
  <c r="J24" i="8" s="1"/>
  <c r="D24" i="8"/>
  <c r="C24" i="8"/>
  <c r="D21" i="8"/>
  <c r="E20" i="8"/>
  <c r="E19" i="8"/>
  <c r="D19" i="8"/>
  <c r="C19" i="8"/>
  <c r="E18" i="8"/>
  <c r="F18" i="8" s="1"/>
  <c r="G18" i="8" s="1"/>
  <c r="H18" i="8" s="1"/>
  <c r="I18" i="8" s="1"/>
  <c r="J18" i="8" s="1"/>
  <c r="D18" i="8"/>
  <c r="C18" i="8"/>
  <c r="E17" i="8"/>
  <c r="F17" i="8" s="1"/>
  <c r="G17" i="8" s="1"/>
  <c r="H17" i="8" s="1"/>
  <c r="I17" i="8" s="1"/>
  <c r="J17" i="8" s="1"/>
  <c r="D17" i="8"/>
  <c r="C17" i="8"/>
  <c r="G16" i="8"/>
  <c r="H16" i="8" s="1"/>
  <c r="I16" i="8" s="1"/>
  <c r="J16" i="8" s="1"/>
  <c r="E16" i="8"/>
  <c r="F16" i="8" s="1"/>
  <c r="D16" i="8"/>
  <c r="C16" i="8"/>
  <c r="E15" i="8"/>
  <c r="F15" i="8" s="1"/>
  <c r="G15" i="8" s="1"/>
  <c r="H15" i="8" s="1"/>
  <c r="I15" i="8" s="1"/>
  <c r="J15" i="8" s="1"/>
  <c r="D15" i="8"/>
  <c r="C15" i="8"/>
  <c r="J14" i="8"/>
  <c r="I14" i="8"/>
  <c r="H14" i="8"/>
  <c r="G14" i="8"/>
  <c r="F14" i="8"/>
  <c r="E14" i="8"/>
  <c r="D14" i="8"/>
  <c r="C14" i="8"/>
  <c r="J13" i="8"/>
  <c r="I13" i="8"/>
  <c r="H13" i="8"/>
  <c r="G13" i="8"/>
  <c r="F13" i="8"/>
  <c r="J12" i="8"/>
  <c r="I12" i="8"/>
  <c r="H12" i="8"/>
  <c r="G12" i="8"/>
  <c r="F12" i="8"/>
  <c r="J11" i="8"/>
  <c r="I11" i="8"/>
  <c r="H11" i="8"/>
  <c r="G11" i="8"/>
  <c r="F11" i="8"/>
  <c r="J10" i="8"/>
  <c r="I10" i="8"/>
  <c r="H10" i="8"/>
  <c r="G10" i="8"/>
  <c r="F10" i="8"/>
  <c r="E10" i="8"/>
  <c r="D10" i="8"/>
  <c r="E9" i="8"/>
  <c r="F9" i="8" s="1"/>
  <c r="D9" i="8"/>
  <c r="C9" i="8"/>
  <c r="D8" i="8"/>
  <c r="J2" i="8"/>
  <c r="I2" i="8"/>
  <c r="H2" i="8"/>
  <c r="G2" i="8"/>
  <c r="F2" i="8"/>
  <c r="E2" i="8"/>
  <c r="D2" i="8"/>
  <c r="C2" i="8"/>
  <c r="J61" i="10"/>
  <c r="I61" i="10"/>
  <c r="H61" i="10"/>
  <c r="G61" i="10"/>
  <c r="F61" i="10"/>
  <c r="E61" i="10"/>
  <c r="D61" i="10"/>
  <c r="C61" i="10"/>
  <c r="J60" i="10"/>
  <c r="I60" i="10"/>
  <c r="H60" i="10"/>
  <c r="G60" i="10"/>
  <c r="F60" i="10"/>
  <c r="J59" i="10"/>
  <c r="I59" i="10"/>
  <c r="E59" i="10"/>
  <c r="D59" i="10"/>
  <c r="C59" i="10"/>
  <c r="J58" i="10"/>
  <c r="I58" i="10"/>
  <c r="H58" i="10"/>
  <c r="G58" i="10"/>
  <c r="F58" i="10"/>
  <c r="J55" i="10"/>
  <c r="I55" i="10"/>
  <c r="H55" i="10"/>
  <c r="G55" i="10"/>
  <c r="F55" i="10"/>
  <c r="E55" i="10"/>
  <c r="D55" i="10"/>
  <c r="C55" i="10"/>
  <c r="J54" i="10"/>
  <c r="I54" i="10"/>
  <c r="H54" i="10"/>
  <c r="G54" i="10"/>
  <c r="F54" i="10"/>
  <c r="E53" i="10"/>
  <c r="D53" i="10"/>
  <c r="C53" i="10"/>
  <c r="J52" i="10"/>
  <c r="I52" i="10"/>
  <c r="H52" i="10"/>
  <c r="G52" i="10"/>
  <c r="F52" i="10"/>
  <c r="E49" i="10"/>
  <c r="D49" i="10"/>
  <c r="C49" i="10"/>
  <c r="J48" i="10"/>
  <c r="I48" i="10"/>
  <c r="H48" i="10"/>
  <c r="G48" i="10"/>
  <c r="F48" i="10"/>
  <c r="E47" i="10"/>
  <c r="D47" i="10"/>
  <c r="C47" i="10"/>
  <c r="J46" i="10"/>
  <c r="I46" i="10"/>
  <c r="H46" i="10"/>
  <c r="G46" i="10"/>
  <c r="F46" i="10"/>
  <c r="J43" i="10"/>
  <c r="I43" i="10"/>
  <c r="H43" i="10"/>
  <c r="G43" i="10"/>
  <c r="F43" i="10"/>
  <c r="E43" i="10"/>
  <c r="D43" i="10"/>
  <c r="C43" i="10"/>
  <c r="J42" i="10"/>
  <c r="I42" i="10"/>
  <c r="H42" i="10"/>
  <c r="G42" i="10"/>
  <c r="F42" i="10"/>
  <c r="J41" i="10"/>
  <c r="I41" i="10"/>
  <c r="H41" i="10"/>
  <c r="E41" i="10"/>
  <c r="D41" i="10"/>
  <c r="C41" i="10"/>
  <c r="J40" i="10"/>
  <c r="I40" i="10"/>
  <c r="H40" i="10"/>
  <c r="G40" i="10"/>
  <c r="F40" i="10"/>
  <c r="J37" i="10"/>
  <c r="I37" i="10"/>
  <c r="H37" i="10"/>
  <c r="G37" i="10"/>
  <c r="F37" i="10"/>
  <c r="E37" i="10"/>
  <c r="D37" i="10"/>
  <c r="C37" i="10"/>
  <c r="J36" i="10"/>
  <c r="I36" i="10"/>
  <c r="H36" i="10"/>
  <c r="G36" i="10"/>
  <c r="F36" i="10"/>
  <c r="J35" i="10"/>
  <c r="I35" i="10"/>
  <c r="E35" i="10"/>
  <c r="D35" i="10"/>
  <c r="C35" i="10"/>
  <c r="J34" i="10"/>
  <c r="I34" i="10"/>
  <c r="H34" i="10"/>
  <c r="G34" i="10"/>
  <c r="F34" i="10"/>
  <c r="J25" i="10"/>
  <c r="I25" i="10"/>
  <c r="H25" i="10"/>
  <c r="G25" i="10"/>
  <c r="E25" i="10"/>
  <c r="D25" i="10"/>
  <c r="C25" i="10"/>
  <c r="J24" i="10"/>
  <c r="I24" i="10"/>
  <c r="H24" i="10"/>
  <c r="G24" i="10"/>
  <c r="F24" i="10"/>
  <c r="J23" i="10"/>
  <c r="I23" i="10"/>
  <c r="H23" i="10"/>
  <c r="G23" i="10"/>
  <c r="E23" i="10"/>
  <c r="D23" i="10"/>
  <c r="C23" i="10"/>
  <c r="J22" i="10"/>
  <c r="I22" i="10"/>
  <c r="H22" i="10"/>
  <c r="G22" i="10"/>
  <c r="F22" i="10"/>
  <c r="J19" i="10"/>
  <c r="I19" i="10"/>
  <c r="H19" i="10"/>
  <c r="G19" i="10"/>
  <c r="F19" i="10"/>
  <c r="J18" i="10"/>
  <c r="I18" i="10"/>
  <c r="H18" i="10"/>
  <c r="G18" i="10"/>
  <c r="F18" i="10"/>
  <c r="E18" i="10"/>
  <c r="D18" i="10"/>
  <c r="C18" i="10"/>
  <c r="J17" i="10"/>
  <c r="I17" i="10"/>
  <c r="H17" i="10"/>
  <c r="G17" i="10"/>
  <c r="F17" i="10"/>
  <c r="E17" i="10"/>
  <c r="D17" i="10"/>
  <c r="C17" i="10"/>
  <c r="J16" i="10"/>
  <c r="I16" i="10"/>
  <c r="H16" i="10"/>
  <c r="G16" i="10"/>
  <c r="F16" i="10"/>
  <c r="J13" i="10"/>
  <c r="I13" i="10"/>
  <c r="H13" i="10"/>
  <c r="G13" i="10"/>
  <c r="F13" i="10"/>
  <c r="J12" i="10"/>
  <c r="I12" i="10"/>
  <c r="H12" i="10"/>
  <c r="G12" i="10"/>
  <c r="F12" i="10"/>
  <c r="E12" i="10"/>
  <c r="D12" i="10"/>
  <c r="C12" i="10"/>
  <c r="J11" i="10"/>
  <c r="I11" i="10"/>
  <c r="H11" i="10"/>
  <c r="G11" i="10"/>
  <c r="E11" i="10"/>
  <c r="D11" i="10"/>
  <c r="C11" i="10"/>
  <c r="J10" i="10"/>
  <c r="I10" i="10"/>
  <c r="H10" i="10"/>
  <c r="G10" i="10"/>
  <c r="F10" i="10"/>
  <c r="J7" i="10"/>
  <c r="I7" i="10"/>
  <c r="H7" i="10"/>
  <c r="G7" i="10"/>
  <c r="F7" i="10"/>
  <c r="E7" i="10"/>
  <c r="D7" i="10"/>
  <c r="C7" i="10"/>
  <c r="J6" i="10"/>
  <c r="I6" i="10"/>
  <c r="H6" i="10"/>
  <c r="G6" i="10"/>
  <c r="F6" i="10"/>
  <c r="E6" i="10"/>
  <c r="D6" i="10"/>
  <c r="C6" i="10"/>
  <c r="J5" i="10"/>
  <c r="I5" i="10"/>
  <c r="H5" i="10"/>
  <c r="G5" i="10"/>
  <c r="F5" i="10"/>
  <c r="E5" i="10"/>
  <c r="D5" i="10"/>
  <c r="C5" i="10"/>
  <c r="J4" i="10"/>
  <c r="I4" i="10"/>
  <c r="H4" i="10"/>
  <c r="G4" i="10"/>
  <c r="F4" i="10"/>
  <c r="E4" i="10"/>
  <c r="D4" i="10"/>
  <c r="C4" i="10"/>
  <c r="J2" i="10"/>
  <c r="I2" i="10"/>
  <c r="H2" i="10"/>
  <c r="G2" i="10"/>
  <c r="F2" i="10"/>
  <c r="E2" i="10"/>
  <c r="D2" i="10"/>
  <c r="C2" i="10"/>
  <c r="C175" i="6"/>
  <c r="E173" i="6"/>
  <c r="F173" i="6" s="1"/>
  <c r="E167" i="6"/>
  <c r="E168" i="6" s="1"/>
  <c r="D166" i="6"/>
  <c r="D167" i="6" s="1"/>
  <c r="D168" i="6" s="1"/>
  <c r="E160" i="6"/>
  <c r="F160" i="6" s="1"/>
  <c r="G160" i="6" s="1"/>
  <c r="H160" i="6" s="1"/>
  <c r="I160" i="6" s="1"/>
  <c r="J160" i="6" s="1"/>
  <c r="E159" i="6"/>
  <c r="E158" i="6"/>
  <c r="F158" i="6" s="1"/>
  <c r="F157" i="6"/>
  <c r="E155" i="6"/>
  <c r="J134" i="6"/>
  <c r="I134" i="6"/>
  <c r="H134" i="6"/>
  <c r="G134" i="6"/>
  <c r="F134" i="6"/>
  <c r="H133" i="6"/>
  <c r="I133" i="6" s="1"/>
  <c r="I41" i="5" s="1"/>
  <c r="I21" i="2" s="1"/>
  <c r="G133" i="6"/>
  <c r="E133" i="6"/>
  <c r="F132" i="6"/>
  <c r="E132" i="6"/>
  <c r="E125" i="6"/>
  <c r="D125" i="6"/>
  <c r="E118" i="6"/>
  <c r="E127" i="6" s="1"/>
  <c r="D118" i="6"/>
  <c r="D127" i="6" s="1"/>
  <c r="I96" i="6"/>
  <c r="J96" i="6" s="1"/>
  <c r="J39" i="5" s="1"/>
  <c r="J19" i="2" s="1"/>
  <c r="G96" i="6"/>
  <c r="H96" i="6" s="1"/>
  <c r="H39" i="5" s="1"/>
  <c r="E96" i="6"/>
  <c r="E95" i="6"/>
  <c r="F95" i="6" s="1"/>
  <c r="E90" i="6"/>
  <c r="E88" i="6"/>
  <c r="D88" i="6"/>
  <c r="E81" i="6"/>
  <c r="D81" i="6"/>
  <c r="D90" i="6" s="1"/>
  <c r="F71" i="6"/>
  <c r="G67" i="6" s="1"/>
  <c r="J70" i="6"/>
  <c r="H70" i="6"/>
  <c r="G70" i="6"/>
  <c r="J68" i="6"/>
  <c r="G68" i="6"/>
  <c r="E68" i="6"/>
  <c r="F67" i="6"/>
  <c r="F69" i="6" s="1"/>
  <c r="E65" i="6"/>
  <c r="D65" i="6"/>
  <c r="F43" i="6"/>
  <c r="G43" i="6" s="1"/>
  <c r="G34" i="5" s="1"/>
  <c r="G14" i="2" s="1"/>
  <c r="E43" i="6"/>
  <c r="F42" i="6"/>
  <c r="E42" i="6"/>
  <c r="D42" i="6"/>
  <c r="E41" i="6"/>
  <c r="F41" i="6" s="1"/>
  <c r="D41" i="6"/>
  <c r="E32" i="6"/>
  <c r="D32" i="6"/>
  <c r="E28" i="6"/>
  <c r="D28" i="6"/>
  <c r="E26" i="6"/>
  <c r="D26" i="6"/>
  <c r="E19" i="6"/>
  <c r="E31" i="6" s="1"/>
  <c r="D19" i="6"/>
  <c r="E10" i="6"/>
  <c r="E9" i="6"/>
  <c r="E7" i="6"/>
  <c r="D7" i="6"/>
  <c r="E6" i="6"/>
  <c r="E4" i="6"/>
  <c r="J2" i="6"/>
  <c r="I2" i="6"/>
  <c r="H2" i="6"/>
  <c r="G2" i="6"/>
  <c r="F2" i="6"/>
  <c r="E2" i="6"/>
  <c r="F170" i="6" s="1"/>
  <c r="D2" i="6"/>
  <c r="C2" i="6"/>
  <c r="E23" i="9"/>
  <c r="D23" i="9"/>
  <c r="F22" i="9"/>
  <c r="E22" i="9"/>
  <c r="D22" i="9"/>
  <c r="F21" i="9"/>
  <c r="E21" i="9"/>
  <c r="D21" i="9"/>
  <c r="E20" i="9"/>
  <c r="D20" i="9"/>
  <c r="E19" i="9"/>
  <c r="D19" i="9"/>
  <c r="E18" i="9"/>
  <c r="D18" i="9"/>
  <c r="E17" i="9"/>
  <c r="D17" i="9"/>
  <c r="E16" i="9"/>
  <c r="E24" i="9" s="1"/>
  <c r="D16" i="9"/>
  <c r="D24" i="9" s="1"/>
  <c r="G13" i="9"/>
  <c r="F13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E14" i="9" s="1"/>
  <c r="D4" i="9"/>
  <c r="D14" i="9" s="1"/>
  <c r="J2" i="9"/>
  <c r="I2" i="9"/>
  <c r="H2" i="9"/>
  <c r="G2" i="9"/>
  <c r="F2" i="9"/>
  <c r="E2" i="9"/>
  <c r="D2" i="9"/>
  <c r="C2" i="9"/>
  <c r="E70" i="5"/>
  <c r="F68" i="5"/>
  <c r="H62" i="5"/>
  <c r="F61" i="5"/>
  <c r="F60" i="5"/>
  <c r="I58" i="5"/>
  <c r="F58" i="5"/>
  <c r="F56" i="5"/>
  <c r="F51" i="5"/>
  <c r="F46" i="5"/>
  <c r="H41" i="5"/>
  <c r="H21" i="2" s="1"/>
  <c r="G41" i="5"/>
  <c r="G21" i="2" s="1"/>
  <c r="F41" i="5"/>
  <c r="F21" i="2" s="1"/>
  <c r="F40" i="5"/>
  <c r="F20" i="2" s="1"/>
  <c r="G39" i="5"/>
  <c r="G19" i="2" s="1"/>
  <c r="F39" i="5"/>
  <c r="F19" i="2" s="1"/>
  <c r="G36" i="5"/>
  <c r="G16" i="2" s="1"/>
  <c r="F36" i="5"/>
  <c r="F16" i="2" s="1"/>
  <c r="J35" i="5"/>
  <c r="J15" i="2" s="1"/>
  <c r="I35" i="5"/>
  <c r="I15" i="2" s="1"/>
  <c r="H35" i="5"/>
  <c r="H15" i="2" s="1"/>
  <c r="G35" i="5"/>
  <c r="G15" i="2" s="1"/>
  <c r="F35" i="5"/>
  <c r="F31" i="5"/>
  <c r="G29" i="5"/>
  <c r="F29" i="5"/>
  <c r="F26" i="5"/>
  <c r="F22" i="5"/>
  <c r="F21" i="5"/>
  <c r="G14" i="5"/>
  <c r="F14" i="5"/>
  <c r="F12" i="5"/>
  <c r="G11" i="5"/>
  <c r="F11" i="5"/>
  <c r="J2" i="5"/>
  <c r="I2" i="5"/>
  <c r="H2" i="5"/>
  <c r="G2" i="5"/>
  <c r="F2" i="5"/>
  <c r="E2" i="5"/>
  <c r="D2" i="5"/>
  <c r="C2" i="5"/>
  <c r="D89" i="1"/>
  <c r="C89" i="1"/>
  <c r="E87" i="1"/>
  <c r="E89" i="1" s="1"/>
  <c r="D87" i="1"/>
  <c r="C87" i="1"/>
  <c r="G84" i="1"/>
  <c r="H84" i="1" s="1"/>
  <c r="I84" i="1" s="1"/>
  <c r="F84" i="1"/>
  <c r="F63" i="5" s="1"/>
  <c r="H83" i="1"/>
  <c r="I83" i="1" s="1"/>
  <c r="G83" i="1"/>
  <c r="G62" i="5" s="1"/>
  <c r="F83" i="1"/>
  <c r="F62" i="5" s="1"/>
  <c r="F82" i="1"/>
  <c r="G82" i="1" s="1"/>
  <c r="F81" i="1"/>
  <c r="G81" i="1" s="1"/>
  <c r="F80" i="1"/>
  <c r="G80" i="1" s="1"/>
  <c r="H79" i="1"/>
  <c r="I79" i="1" s="1"/>
  <c r="J79" i="1" s="1"/>
  <c r="J58" i="5" s="1"/>
  <c r="G79" i="1"/>
  <c r="G58" i="5" s="1"/>
  <c r="F79" i="1"/>
  <c r="E76" i="1"/>
  <c r="D76" i="1"/>
  <c r="D91" i="1" s="1"/>
  <c r="C76" i="1"/>
  <c r="C91" i="1" s="1"/>
  <c r="E74" i="1"/>
  <c r="D74" i="1"/>
  <c r="C74" i="1"/>
  <c r="F73" i="1"/>
  <c r="G73" i="1" s="1"/>
  <c r="I72" i="1"/>
  <c r="J72" i="1" s="1"/>
  <c r="J15" i="5" s="1"/>
  <c r="H72" i="1"/>
  <c r="H15" i="5" s="1"/>
  <c r="G72" i="1"/>
  <c r="G15" i="5" s="1"/>
  <c r="F72" i="1"/>
  <c r="F15" i="5" s="1"/>
  <c r="F71" i="1"/>
  <c r="G71" i="1" s="1"/>
  <c r="H71" i="1" s="1"/>
  <c r="G70" i="1"/>
  <c r="H70" i="1" s="1"/>
  <c r="H13" i="5" s="1"/>
  <c r="F70" i="1"/>
  <c r="F13" i="5" s="1"/>
  <c r="G69" i="1"/>
  <c r="H69" i="1" s="1"/>
  <c r="F69" i="1"/>
  <c r="F67" i="1"/>
  <c r="G67" i="1" s="1"/>
  <c r="H67" i="1" s="1"/>
  <c r="E63" i="1"/>
  <c r="D63" i="1"/>
  <c r="C63" i="1"/>
  <c r="F62" i="1"/>
  <c r="F61" i="1"/>
  <c r="F54" i="5" s="1"/>
  <c r="G60" i="1"/>
  <c r="F60" i="1"/>
  <c r="F53" i="5" s="1"/>
  <c r="G59" i="1"/>
  <c r="H59" i="1" s="1"/>
  <c r="F59" i="1"/>
  <c r="F58" i="1"/>
  <c r="G58" i="1" s="1"/>
  <c r="G52" i="1"/>
  <c r="G46" i="5" s="1"/>
  <c r="F52" i="1"/>
  <c r="G51" i="1"/>
  <c r="G45" i="5" s="1"/>
  <c r="F51" i="1"/>
  <c r="F45" i="5" s="1"/>
  <c r="F50" i="1"/>
  <c r="F52" i="5" s="1"/>
  <c r="K44" i="1"/>
  <c r="E44" i="1"/>
  <c r="D44" i="1"/>
  <c r="C44" i="1"/>
  <c r="F43" i="1"/>
  <c r="G43" i="1" s="1"/>
  <c r="H43" i="1" s="1"/>
  <c r="F42" i="1"/>
  <c r="G42" i="1" s="1"/>
  <c r="F40" i="1"/>
  <c r="F43" i="5" s="1"/>
  <c r="G36" i="1"/>
  <c r="G37" i="5" s="1"/>
  <c r="G17" i="2" s="1"/>
  <c r="F36" i="1"/>
  <c r="F37" i="5" s="1"/>
  <c r="F17" i="2" s="1"/>
  <c r="I35" i="1"/>
  <c r="I36" i="5" s="1"/>
  <c r="I16" i="2" s="1"/>
  <c r="H35" i="1"/>
  <c r="H36" i="5" s="1"/>
  <c r="H16" i="2" s="1"/>
  <c r="G35" i="1"/>
  <c r="F35" i="1"/>
  <c r="F32" i="1"/>
  <c r="G31" i="1"/>
  <c r="G31" i="5" s="1"/>
  <c r="F31" i="1"/>
  <c r="G30" i="1"/>
  <c r="G30" i="5" s="1"/>
  <c r="F30" i="1"/>
  <c r="F30" i="5" s="1"/>
  <c r="H29" i="1"/>
  <c r="H29" i="5" s="1"/>
  <c r="F29" i="1"/>
  <c r="G29" i="1" s="1"/>
  <c r="F28" i="1"/>
  <c r="F28" i="5" s="1"/>
  <c r="F27" i="1"/>
  <c r="F27" i="5" s="1"/>
  <c r="G26" i="1"/>
  <c r="G26" i="5" s="1"/>
  <c r="F26" i="1"/>
  <c r="F25" i="1"/>
  <c r="F25" i="5" s="1"/>
  <c r="F24" i="1"/>
  <c r="F24" i="5" s="1"/>
  <c r="G23" i="1"/>
  <c r="G23" i="5" s="1"/>
  <c r="F23" i="1"/>
  <c r="F23" i="5" s="1"/>
  <c r="H22" i="1"/>
  <c r="G22" i="1"/>
  <c r="G22" i="5" s="1"/>
  <c r="F22" i="1"/>
  <c r="E19" i="1"/>
  <c r="E46" i="1" s="1"/>
  <c r="D19" i="1"/>
  <c r="D46" i="1" s="1"/>
  <c r="D93" i="1" s="1"/>
  <c r="C19" i="1"/>
  <c r="C46" i="1" s="1"/>
  <c r="C93" i="1" s="1"/>
  <c r="F18" i="1"/>
  <c r="G18" i="1" s="1"/>
  <c r="H18" i="1" s="1"/>
  <c r="I18" i="1" s="1"/>
  <c r="J18" i="1" s="1"/>
  <c r="H17" i="1"/>
  <c r="H13" i="9" s="1"/>
  <c r="F17" i="1"/>
  <c r="G17" i="1" s="1"/>
  <c r="F16" i="1"/>
  <c r="G16" i="1" s="1"/>
  <c r="F15" i="1"/>
  <c r="F11" i="9" s="1"/>
  <c r="F12" i="1"/>
  <c r="G12" i="1" s="1"/>
  <c r="G7" i="1"/>
  <c r="H7" i="1" s="1"/>
  <c r="F7" i="1"/>
  <c r="F6" i="1"/>
  <c r="G6" i="1" s="1"/>
  <c r="J2" i="1"/>
  <c r="I2" i="1"/>
  <c r="H2" i="1"/>
  <c r="G2" i="1"/>
  <c r="F2" i="1"/>
  <c r="E2" i="1"/>
  <c r="D2" i="1"/>
  <c r="C2" i="1"/>
  <c r="E29" i="4"/>
  <c r="E33" i="4" s="1"/>
  <c r="D29" i="4"/>
  <c r="D31" i="4" s="1"/>
  <c r="E24" i="4"/>
  <c r="D24" i="4"/>
  <c r="E22" i="4"/>
  <c r="E12" i="4"/>
  <c r="D12" i="4"/>
  <c r="C12" i="4"/>
  <c r="E10" i="4"/>
  <c r="E21" i="8" s="1"/>
  <c r="D10" i="4"/>
  <c r="D22" i="4" s="1"/>
  <c r="D20" i="8" s="1"/>
  <c r="C10" i="4"/>
  <c r="C22" i="4" s="1"/>
  <c r="C20" i="8" s="1"/>
  <c r="J2" i="4"/>
  <c r="I2" i="4"/>
  <c r="H2" i="4"/>
  <c r="G2" i="4"/>
  <c r="F2" i="4"/>
  <c r="E2" i="4"/>
  <c r="D2" i="4"/>
  <c r="C2" i="4"/>
  <c r="J47" i="16" l="1"/>
  <c r="F50" i="16"/>
  <c r="E50" i="16"/>
  <c r="G46" i="16"/>
  <c r="G47" i="16" s="1"/>
  <c r="F53" i="16"/>
  <c r="F46" i="16"/>
  <c r="F47" i="16" s="1"/>
  <c r="E53" i="16"/>
  <c r="E46" i="16"/>
  <c r="E47" i="16" s="1"/>
  <c r="H43" i="16"/>
  <c r="K46" i="16"/>
  <c r="K47" i="16" s="1"/>
  <c r="J43" i="16"/>
  <c r="I46" i="16"/>
  <c r="I47" i="16" s="1"/>
  <c r="J53" i="16"/>
  <c r="I53" i="16"/>
  <c r="H53" i="16"/>
  <c r="H46" i="16"/>
  <c r="H47" i="16" s="1"/>
  <c r="G53" i="16"/>
  <c r="K43" i="16"/>
  <c r="D43" i="16"/>
  <c r="D50" i="16"/>
  <c r="D53" i="16"/>
  <c r="D46" i="16"/>
  <c r="D47" i="16" s="1"/>
  <c r="G26" i="12"/>
  <c r="C5" i="14" s="1"/>
  <c r="I24" i="12"/>
  <c r="D7" i="14" s="1"/>
  <c r="K20" i="12"/>
  <c r="G23" i="12"/>
  <c r="F5" i="14" s="1"/>
  <c r="G24" i="12"/>
  <c r="D5" i="14" s="1"/>
  <c r="G9" i="8"/>
  <c r="F4" i="4"/>
  <c r="D26" i="4"/>
  <c r="D23" i="8" s="1"/>
  <c r="D22" i="8"/>
  <c r="E26" i="4"/>
  <c r="J18" i="12"/>
  <c r="E22" i="8"/>
  <c r="E38" i="8"/>
  <c r="F38" i="8" s="1"/>
  <c r="F12" i="4"/>
  <c r="G35" i="8"/>
  <c r="D32" i="8"/>
  <c r="D31" i="8"/>
  <c r="E32" i="4"/>
  <c r="E31" i="4"/>
  <c r="F20" i="8"/>
  <c r="G36" i="8"/>
  <c r="F14" i="1"/>
  <c r="F10" i="9" s="1"/>
  <c r="C24" i="4"/>
  <c r="C32" i="8"/>
  <c r="C31" i="8"/>
  <c r="F55" i="1"/>
  <c r="F18" i="9" s="1"/>
  <c r="C21" i="8"/>
  <c r="F28" i="8"/>
  <c r="G8" i="9"/>
  <c r="H12" i="1"/>
  <c r="H73" i="1"/>
  <c r="G16" i="5"/>
  <c r="I7" i="1"/>
  <c r="H21" i="5"/>
  <c r="H81" i="1"/>
  <c r="G60" i="5"/>
  <c r="E93" i="1"/>
  <c r="H11" i="5"/>
  <c r="I43" i="1"/>
  <c r="H22" i="9"/>
  <c r="I59" i="1"/>
  <c r="H56" i="5"/>
  <c r="I67" i="1"/>
  <c r="J83" i="1"/>
  <c r="J62" i="5" s="1"/>
  <c r="I62" i="5"/>
  <c r="I29" i="1"/>
  <c r="I69" i="1"/>
  <c r="H12" i="5"/>
  <c r="I15" i="5"/>
  <c r="G15" i="1"/>
  <c r="H26" i="1"/>
  <c r="H36" i="1"/>
  <c r="F16" i="5"/>
  <c r="C38" i="8"/>
  <c r="G41" i="8"/>
  <c r="H80" i="1"/>
  <c r="G59" i="5"/>
  <c r="F72" i="5"/>
  <c r="G28" i="8"/>
  <c r="I70" i="1"/>
  <c r="G56" i="5"/>
  <c r="F23" i="9"/>
  <c r="G62" i="1"/>
  <c r="H58" i="1"/>
  <c r="G21" i="9"/>
  <c r="G22" i="9"/>
  <c r="H42" i="1"/>
  <c r="G10" i="5"/>
  <c r="F8" i="9"/>
  <c r="G32" i="1"/>
  <c r="F32" i="5"/>
  <c r="I71" i="1"/>
  <c r="H14" i="5"/>
  <c r="E91" i="1"/>
  <c r="G21" i="5"/>
  <c r="C33" i="8"/>
  <c r="C30" i="8"/>
  <c r="D26" i="9"/>
  <c r="H52" i="1"/>
  <c r="D38" i="8"/>
  <c r="G53" i="5"/>
  <c r="H60" i="1"/>
  <c r="G13" i="5"/>
  <c r="G63" i="5"/>
  <c r="D33" i="8"/>
  <c r="D30" i="8"/>
  <c r="J35" i="1"/>
  <c r="J36" i="5" s="1"/>
  <c r="J16" i="2" s="1"/>
  <c r="G34" i="8"/>
  <c r="H16" i="1"/>
  <c r="G12" i="9"/>
  <c r="H31" i="1"/>
  <c r="H82" i="1"/>
  <c r="G61" i="5"/>
  <c r="E70" i="8"/>
  <c r="F67" i="8"/>
  <c r="I17" i="1"/>
  <c r="G24" i="1"/>
  <c r="H63" i="5"/>
  <c r="I63" i="5"/>
  <c r="J84" i="1"/>
  <c r="J63" i="5" s="1"/>
  <c r="E26" i="9"/>
  <c r="I43" i="8"/>
  <c r="I22" i="1"/>
  <c r="H22" i="5"/>
  <c r="H6" i="1"/>
  <c r="G20" i="5"/>
  <c r="G27" i="1"/>
  <c r="F57" i="1"/>
  <c r="F20" i="9" s="1"/>
  <c r="H58" i="5"/>
  <c r="C40" i="8"/>
  <c r="H42" i="8"/>
  <c r="G51" i="8"/>
  <c r="G52" i="8" s="1"/>
  <c r="E32" i="8"/>
  <c r="F32" i="8" s="1"/>
  <c r="G32" i="8" s="1"/>
  <c r="H32" i="8" s="1"/>
  <c r="I32" i="8" s="1"/>
  <c r="J32" i="8" s="1"/>
  <c r="I25" i="12"/>
  <c r="E31" i="8"/>
  <c r="F31" i="8" s="1"/>
  <c r="G31" i="8" s="1"/>
  <c r="H31" i="8" s="1"/>
  <c r="I31" i="8" s="1"/>
  <c r="J31" i="8" s="1"/>
  <c r="E40" i="8"/>
  <c r="F40" i="8" s="1"/>
  <c r="G40" i="8" s="1"/>
  <c r="H40" i="8" s="1"/>
  <c r="I40" i="8" s="1"/>
  <c r="J40" i="8" s="1"/>
  <c r="G25" i="1"/>
  <c r="G12" i="5"/>
  <c r="F20" i="5"/>
  <c r="F59" i="5"/>
  <c r="I23" i="12"/>
  <c r="F7" i="14" s="1"/>
  <c r="I26" i="12"/>
  <c r="C7" i="14" s="1"/>
  <c r="F10" i="5"/>
  <c r="H30" i="1"/>
  <c r="H51" i="1"/>
  <c r="F12" i="9"/>
  <c r="H23" i="1"/>
  <c r="G28" i="1"/>
  <c r="G61" i="1"/>
  <c r="E30" i="8"/>
  <c r="F30" i="8" s="1"/>
  <c r="I170" i="6"/>
  <c r="C177" i="6" a="1"/>
  <c r="I129" i="6"/>
  <c r="E33" i="6"/>
  <c r="E35" i="6" s="1"/>
  <c r="G158" i="6"/>
  <c r="F42" i="5"/>
  <c r="F22" i="2" s="1"/>
  <c r="J133" i="6"/>
  <c r="J41" i="5" s="1"/>
  <c r="J21" i="2" s="1"/>
  <c r="F44" i="6"/>
  <c r="G41" i="6"/>
  <c r="F33" i="5"/>
  <c r="F62" i="8"/>
  <c r="F57" i="8" s="1"/>
  <c r="F59" i="8" s="1"/>
  <c r="F97" i="6"/>
  <c r="F38" i="5"/>
  <c r="F18" i="2" s="1"/>
  <c r="G95" i="6"/>
  <c r="F174" i="6"/>
  <c r="F44" i="5"/>
  <c r="F23" i="2" s="1"/>
  <c r="G173" i="6"/>
  <c r="C48" i="6" a="1"/>
  <c r="G40" i="1"/>
  <c r="D31" i="6"/>
  <c r="D33" i="6" s="1"/>
  <c r="D35" i="6" s="1"/>
  <c r="C36" i="6" s="1"/>
  <c r="G38" i="6" s="1"/>
  <c r="D29" i="6"/>
  <c r="F135" i="6"/>
  <c r="G132" i="6"/>
  <c r="H43" i="6"/>
  <c r="C128" i="6"/>
  <c r="C91" i="6"/>
  <c r="F161" i="6"/>
  <c r="C138" i="6" a="1"/>
  <c r="C170" i="6"/>
  <c r="F5" i="6"/>
  <c r="F34" i="1" s="1"/>
  <c r="F34" i="5"/>
  <c r="F14" i="2" s="1"/>
  <c r="I39" i="5"/>
  <c r="I19" i="2" s="1"/>
  <c r="G170" i="6"/>
  <c r="G92" i="6"/>
  <c r="E29" i="6"/>
  <c r="G69" i="6"/>
  <c r="G42" i="6" s="1"/>
  <c r="C100" i="6" a="1"/>
  <c r="H170" i="6"/>
  <c r="J170" i="6"/>
  <c r="I4" i="14"/>
  <c r="I7" i="14" l="1"/>
  <c r="I5" i="14"/>
  <c r="F7" i="5"/>
  <c r="F47" i="5" s="1"/>
  <c r="G12" i="4"/>
  <c r="C26" i="4"/>
  <c r="C23" i="8" s="1"/>
  <c r="F23" i="8" s="1"/>
  <c r="G23" i="8" s="1"/>
  <c r="H23" i="8" s="1"/>
  <c r="I23" i="8" s="1"/>
  <c r="J23" i="8" s="1"/>
  <c r="C22" i="8"/>
  <c r="H36" i="8"/>
  <c r="G14" i="1"/>
  <c r="G10" i="9" s="1"/>
  <c r="C76" i="2"/>
  <c r="C77" i="2" s="1"/>
  <c r="C82" i="2" s="1"/>
  <c r="G20" i="8"/>
  <c r="H20" i="8" s="1"/>
  <c r="I20" i="8" s="1"/>
  <c r="J20" i="8" s="1"/>
  <c r="F6" i="4"/>
  <c r="F8" i="4"/>
  <c r="F5" i="4"/>
  <c r="F56" i="1"/>
  <c r="F19" i="9" s="1"/>
  <c r="F25" i="4"/>
  <c r="F88" i="1" s="1"/>
  <c r="F9" i="4"/>
  <c r="F7" i="4"/>
  <c r="H18" i="12"/>
  <c r="E23" i="8"/>
  <c r="H35" i="8"/>
  <c r="G38" i="8"/>
  <c r="H9" i="8"/>
  <c r="G4" i="4"/>
  <c r="I36" i="1"/>
  <c r="H37" i="5"/>
  <c r="H17" i="2" s="1"/>
  <c r="I82" i="1"/>
  <c r="H61" i="5"/>
  <c r="J43" i="1"/>
  <c r="J11" i="5" s="1"/>
  <c r="I11" i="5"/>
  <c r="I6" i="1"/>
  <c r="H20" i="5"/>
  <c r="I52" i="1"/>
  <c r="H46" i="5"/>
  <c r="I12" i="5"/>
  <c r="J69" i="1"/>
  <c r="J12" i="5" s="1"/>
  <c r="H60" i="5"/>
  <c r="I81" i="1"/>
  <c r="I13" i="5"/>
  <c r="J70" i="1"/>
  <c r="J13" i="5" s="1"/>
  <c r="I23" i="1"/>
  <c r="H23" i="5"/>
  <c r="H10" i="5"/>
  <c r="I42" i="1"/>
  <c r="J29" i="1"/>
  <c r="J29" i="5" s="1"/>
  <c r="I29" i="5"/>
  <c r="H24" i="1"/>
  <c r="G24" i="5"/>
  <c r="I80" i="1"/>
  <c r="H59" i="5"/>
  <c r="I21" i="5"/>
  <c r="J7" i="1"/>
  <c r="J21" i="5" s="1"/>
  <c r="H26" i="5"/>
  <c r="I26" i="1"/>
  <c r="H61" i="1"/>
  <c r="G54" i="5"/>
  <c r="I31" i="1"/>
  <c r="H31" i="5"/>
  <c r="I22" i="5"/>
  <c r="J22" i="1"/>
  <c r="J22" i="5" s="1"/>
  <c r="G72" i="5"/>
  <c r="H28" i="8"/>
  <c r="J43" i="8"/>
  <c r="H30" i="5"/>
  <c r="I30" i="1"/>
  <c r="I42" i="8"/>
  <c r="I13" i="9"/>
  <c r="J17" i="1"/>
  <c r="J13" i="9" s="1"/>
  <c r="H53" i="5"/>
  <c r="I60" i="1"/>
  <c r="H38" i="8"/>
  <c r="G25" i="5"/>
  <c r="H25" i="1"/>
  <c r="H45" i="5"/>
  <c r="I51" i="1"/>
  <c r="H49" i="8"/>
  <c r="G50" i="1"/>
  <c r="G52" i="5" s="1"/>
  <c r="F69" i="8"/>
  <c r="F70" i="8"/>
  <c r="I58" i="1"/>
  <c r="H21" i="9"/>
  <c r="G55" i="1"/>
  <c r="G18" i="9" s="1"/>
  <c r="H41" i="8"/>
  <c r="I56" i="5"/>
  <c r="J67" i="1"/>
  <c r="J56" i="5" s="1"/>
  <c r="I73" i="1"/>
  <c r="H16" i="5"/>
  <c r="G32" i="5"/>
  <c r="H32" i="1"/>
  <c r="H34" i="8"/>
  <c r="H8" i="9"/>
  <c r="I12" i="1"/>
  <c r="G27" i="5"/>
  <c r="H27" i="1"/>
  <c r="F29" i="8"/>
  <c r="G30" i="8"/>
  <c r="J71" i="1"/>
  <c r="J14" i="5" s="1"/>
  <c r="I14" i="5"/>
  <c r="H15" i="1"/>
  <c r="G11" i="9"/>
  <c r="H28" i="1"/>
  <c r="G28" i="5"/>
  <c r="H12" i="9"/>
  <c r="I16" i="1"/>
  <c r="I35" i="8"/>
  <c r="G23" i="9"/>
  <c r="H62" i="1"/>
  <c r="I22" i="9"/>
  <c r="J59" i="1"/>
  <c r="J22" i="9" s="1"/>
  <c r="F60" i="8"/>
  <c r="G56" i="8"/>
  <c r="F66" i="1"/>
  <c r="I38" i="6"/>
  <c r="C98" i="6"/>
  <c r="H92" i="6"/>
  <c r="F92" i="6"/>
  <c r="F13" i="2"/>
  <c r="F48" i="5"/>
  <c r="G157" i="6"/>
  <c r="G161" i="6" s="1"/>
  <c r="F8" i="6"/>
  <c r="F39" i="1" s="1"/>
  <c r="G33" i="5"/>
  <c r="H41" i="6"/>
  <c r="G44" i="6"/>
  <c r="G62" i="8"/>
  <c r="G57" i="8" s="1"/>
  <c r="C177" i="6"/>
  <c r="C181" i="6"/>
  <c r="C180" i="6"/>
  <c r="C179" i="6"/>
  <c r="C178" i="6"/>
  <c r="H132" i="6"/>
  <c r="G135" i="6"/>
  <c r="G40" i="5"/>
  <c r="G20" i="2" s="1"/>
  <c r="G43" i="5"/>
  <c r="H40" i="1"/>
  <c r="C51" i="6"/>
  <c r="C49" i="6"/>
  <c r="C52" i="6"/>
  <c r="C50" i="6"/>
  <c r="C48" i="6"/>
  <c r="G71" i="6"/>
  <c r="C45" i="6"/>
  <c r="H38" i="6"/>
  <c r="F38" i="6"/>
  <c r="J38" i="6"/>
  <c r="C104" i="6"/>
  <c r="C102" i="6"/>
  <c r="C103" i="6"/>
  <c r="C101" i="6"/>
  <c r="C100" i="6"/>
  <c r="C141" i="6"/>
  <c r="C139" i="6"/>
  <c r="C140" i="6"/>
  <c r="C138" i="6"/>
  <c r="C142" i="6"/>
  <c r="C136" i="6"/>
  <c r="H129" i="6"/>
  <c r="J129" i="6"/>
  <c r="G129" i="6"/>
  <c r="I92" i="6"/>
  <c r="I43" i="6"/>
  <c r="H34" i="5"/>
  <c r="H14" i="2" s="1"/>
  <c r="G44" i="5"/>
  <c r="G23" i="2" s="1"/>
  <c r="G174" i="6"/>
  <c r="H173" i="6"/>
  <c r="H158" i="6"/>
  <c r="G42" i="5"/>
  <c r="G22" i="2" s="1"/>
  <c r="F129" i="6"/>
  <c r="J92" i="6"/>
  <c r="G97" i="6"/>
  <c r="H95" i="6"/>
  <c r="G38" i="5"/>
  <c r="G18" i="2" s="1"/>
  <c r="H26" i="12" l="1"/>
  <c r="C6" i="14" s="1"/>
  <c r="H25" i="12"/>
  <c r="H24" i="12"/>
  <c r="D6" i="14" s="1"/>
  <c r="H23" i="12"/>
  <c r="F6" i="14" s="1"/>
  <c r="J23" i="12"/>
  <c r="F8" i="14" s="1"/>
  <c r="C28" i="2"/>
  <c r="C64" i="2"/>
  <c r="I36" i="8"/>
  <c r="H14" i="1"/>
  <c r="H10" i="9" s="1"/>
  <c r="G88" i="1"/>
  <c r="H12" i="4"/>
  <c r="G7" i="5"/>
  <c r="G47" i="5" s="1"/>
  <c r="G48" i="5" s="1"/>
  <c r="F13" i="1"/>
  <c r="F9" i="9" s="1"/>
  <c r="F11" i="1"/>
  <c r="F7" i="9" s="1"/>
  <c r="F10" i="4"/>
  <c r="J24" i="12"/>
  <c r="D8" i="14" s="1"/>
  <c r="J25" i="12"/>
  <c r="J26" i="12"/>
  <c r="C8" i="14" s="1"/>
  <c r="F37" i="8"/>
  <c r="G6" i="4"/>
  <c r="G8" i="4"/>
  <c r="G25" i="4"/>
  <c r="G5" i="4"/>
  <c r="G10" i="4" s="1"/>
  <c r="G57" i="1"/>
  <c r="G20" i="9" s="1"/>
  <c r="G7" i="4"/>
  <c r="G9" i="4"/>
  <c r="G56" i="1"/>
  <c r="G19" i="9" s="1"/>
  <c r="I9" i="8"/>
  <c r="H4" i="4"/>
  <c r="I53" i="5"/>
  <c r="J60" i="1"/>
  <c r="J53" i="5" s="1"/>
  <c r="I15" i="1"/>
  <c r="H11" i="9"/>
  <c r="H51" i="8"/>
  <c r="H52" i="8" s="1"/>
  <c r="I61" i="1"/>
  <c r="H54" i="5"/>
  <c r="J6" i="1"/>
  <c r="J20" i="5" s="1"/>
  <c r="I20" i="5"/>
  <c r="I12" i="9"/>
  <c r="J16" i="1"/>
  <c r="J12" i="9" s="1"/>
  <c r="I34" i="8"/>
  <c r="I10" i="5"/>
  <c r="J42" i="1"/>
  <c r="J10" i="5" s="1"/>
  <c r="J51" i="1"/>
  <c r="J45" i="5" s="1"/>
  <c r="I45" i="5"/>
  <c r="H23" i="9"/>
  <c r="I62" i="1"/>
  <c r="G29" i="8"/>
  <c r="H30" i="8"/>
  <c r="H25" i="5"/>
  <c r="I25" i="1"/>
  <c r="I8" i="9"/>
  <c r="J12" i="1"/>
  <c r="J8" i="9" s="1"/>
  <c r="I24" i="1"/>
  <c r="H24" i="5"/>
  <c r="F68" i="1"/>
  <c r="F57" i="5" s="1"/>
  <c r="G67" i="8"/>
  <c r="I31" i="5"/>
  <c r="J31" i="1"/>
  <c r="J31" i="5" s="1"/>
  <c r="H32" i="5"/>
  <c r="I32" i="1"/>
  <c r="J73" i="1"/>
  <c r="J16" i="5" s="1"/>
  <c r="I16" i="5"/>
  <c r="J23" i="1"/>
  <c r="J23" i="5" s="1"/>
  <c r="I23" i="5"/>
  <c r="F9" i="1"/>
  <c r="F5" i="9" s="1"/>
  <c r="F10" i="1"/>
  <c r="F6" i="9" s="1"/>
  <c r="F8" i="1"/>
  <c r="F4" i="9" s="1"/>
  <c r="F14" i="9" s="1"/>
  <c r="J82" i="1"/>
  <c r="J61" i="5" s="1"/>
  <c r="I61" i="5"/>
  <c r="J52" i="1"/>
  <c r="J46" i="5" s="1"/>
  <c r="I46" i="5"/>
  <c r="J42" i="8"/>
  <c r="J26" i="1"/>
  <c r="J26" i="5" s="1"/>
  <c r="I26" i="5"/>
  <c r="J35" i="8"/>
  <c r="H27" i="5"/>
  <c r="I27" i="1"/>
  <c r="I41" i="8"/>
  <c r="H55" i="1"/>
  <c r="H18" i="9" s="1"/>
  <c r="I38" i="8"/>
  <c r="I28" i="8"/>
  <c r="I60" i="5"/>
  <c r="J81" i="1"/>
  <c r="J60" i="5" s="1"/>
  <c r="J58" i="1"/>
  <c r="J21" i="9" s="1"/>
  <c r="I21" i="9"/>
  <c r="H28" i="5"/>
  <c r="I28" i="1"/>
  <c r="J30" i="1"/>
  <c r="J30" i="5" s="1"/>
  <c r="I30" i="5"/>
  <c r="I59" i="5"/>
  <c r="J80" i="1"/>
  <c r="J59" i="5" s="1"/>
  <c r="J36" i="1"/>
  <c r="J37" i="5" s="1"/>
  <c r="J17" i="2" s="1"/>
  <c r="I37" i="5"/>
  <c r="I17" i="2" s="1"/>
  <c r="F178" i="6"/>
  <c r="G179" i="6"/>
  <c r="F179" i="6"/>
  <c r="H174" i="6"/>
  <c r="I173" i="6"/>
  <c r="H44" i="5"/>
  <c r="H23" i="2" s="1"/>
  <c r="H142" i="6"/>
  <c r="J142" i="6"/>
  <c r="G142" i="6"/>
  <c r="I142" i="6"/>
  <c r="F142" i="6"/>
  <c r="H49" i="6"/>
  <c r="F49" i="6"/>
  <c r="G49" i="6"/>
  <c r="J49" i="6"/>
  <c r="I49" i="6"/>
  <c r="H138" i="6"/>
  <c r="H144" i="6" s="1"/>
  <c r="H146" i="6" s="1"/>
  <c r="G138" i="6"/>
  <c r="F138" i="6"/>
  <c r="F144" i="6" s="1"/>
  <c r="F146" i="6" s="1"/>
  <c r="F7" i="6" s="1"/>
  <c r="J138" i="6"/>
  <c r="I138" i="6"/>
  <c r="J51" i="6"/>
  <c r="H51" i="6"/>
  <c r="F51" i="6"/>
  <c r="I51" i="6"/>
  <c r="G51" i="6"/>
  <c r="J50" i="6"/>
  <c r="H50" i="6"/>
  <c r="F50" i="6"/>
  <c r="G50" i="6"/>
  <c r="I50" i="6"/>
  <c r="G13" i="2"/>
  <c r="G59" i="8"/>
  <c r="G60" i="8" s="1"/>
  <c r="F181" i="6"/>
  <c r="I181" i="6"/>
  <c r="G181" i="6"/>
  <c r="H181" i="6"/>
  <c r="F139" i="6"/>
  <c r="H139" i="6"/>
  <c r="J139" i="6"/>
  <c r="I139" i="6"/>
  <c r="G139" i="6"/>
  <c r="F55" i="5"/>
  <c r="F74" i="1"/>
  <c r="F141" i="6"/>
  <c r="H141" i="6"/>
  <c r="G141" i="6"/>
  <c r="J141" i="6"/>
  <c r="I141" i="6"/>
  <c r="I34" i="5"/>
  <c r="I14" i="2" s="1"/>
  <c r="J43" i="6"/>
  <c r="J34" i="5" s="1"/>
  <c r="J14" i="2" s="1"/>
  <c r="H100" i="6"/>
  <c r="F100" i="6"/>
  <c r="J100" i="6"/>
  <c r="G100" i="6"/>
  <c r="I100" i="6"/>
  <c r="I106" i="6" s="1"/>
  <c r="I108" i="6" s="1"/>
  <c r="J102" i="6"/>
  <c r="H102" i="6"/>
  <c r="F102" i="6"/>
  <c r="I102" i="6"/>
  <c r="G102" i="6"/>
  <c r="J48" i="6"/>
  <c r="H48" i="6"/>
  <c r="F48" i="6"/>
  <c r="G48" i="6"/>
  <c r="I48" i="6"/>
  <c r="H180" i="6"/>
  <c r="F180" i="6"/>
  <c r="G180" i="6"/>
  <c r="J140" i="6"/>
  <c r="F140" i="6"/>
  <c r="H140" i="6"/>
  <c r="G140" i="6"/>
  <c r="I140" i="6"/>
  <c r="I41" i="6"/>
  <c r="H62" i="8"/>
  <c r="H57" i="8" s="1"/>
  <c r="H33" i="5"/>
  <c r="I95" i="6"/>
  <c r="H38" i="5"/>
  <c r="H18" i="2" s="1"/>
  <c r="H97" i="6"/>
  <c r="H101" i="6"/>
  <c r="J101" i="6"/>
  <c r="G101" i="6"/>
  <c r="I101" i="6"/>
  <c r="F101" i="6"/>
  <c r="H40" i="5"/>
  <c r="H20" i="2" s="1"/>
  <c r="H135" i="6"/>
  <c r="I132" i="6"/>
  <c r="H104" i="6"/>
  <c r="G104" i="6"/>
  <c r="F104" i="6"/>
  <c r="J104" i="6"/>
  <c r="I104" i="6"/>
  <c r="I158" i="6"/>
  <c r="H42" i="5"/>
  <c r="H22" i="2" s="1"/>
  <c r="H52" i="6"/>
  <c r="J52" i="6"/>
  <c r="I52" i="6"/>
  <c r="G52" i="6"/>
  <c r="F52" i="6"/>
  <c r="I40" i="1"/>
  <c r="H43" i="5"/>
  <c r="H103" i="6"/>
  <c r="G103" i="6"/>
  <c r="J103" i="6"/>
  <c r="F103" i="6"/>
  <c r="I103" i="6"/>
  <c r="G5" i="6"/>
  <c r="G34" i="1" s="1"/>
  <c r="H67" i="6"/>
  <c r="G8" i="6"/>
  <c r="G39" i="1" s="1"/>
  <c r="H157" i="6"/>
  <c r="H161" i="6" s="1"/>
  <c r="I8" i="14" l="1"/>
  <c r="G21" i="8"/>
  <c r="G6" i="2"/>
  <c r="G29" i="4"/>
  <c r="I12" i="4"/>
  <c r="H7" i="5"/>
  <c r="H47" i="5" s="1"/>
  <c r="H88" i="1"/>
  <c r="F53" i="1"/>
  <c r="F16" i="9" s="1"/>
  <c r="F54" i="1"/>
  <c r="F17" i="9" s="1"/>
  <c r="F24" i="9" s="1"/>
  <c r="F26" i="9" s="1"/>
  <c r="F9" i="5" s="1"/>
  <c r="F11" i="2" s="1"/>
  <c r="J36" i="8"/>
  <c r="I14" i="1"/>
  <c r="I10" i="9" s="1"/>
  <c r="H8" i="4"/>
  <c r="H7" i="4"/>
  <c r="H5" i="4"/>
  <c r="H25" i="4"/>
  <c r="H9" i="4"/>
  <c r="H6" i="4"/>
  <c r="H57" i="1"/>
  <c r="H20" i="9" s="1"/>
  <c r="H56" i="1"/>
  <c r="H19" i="9" s="1"/>
  <c r="C65" i="2"/>
  <c r="C66" i="2" s="1"/>
  <c r="C63" i="2"/>
  <c r="C62" i="2" s="1"/>
  <c r="J9" i="8"/>
  <c r="J4" i="4" s="1"/>
  <c r="I4" i="4"/>
  <c r="Q39" i="2"/>
  <c r="P33" i="2"/>
  <c r="O33" i="2"/>
  <c r="H33" i="2"/>
  <c r="G33" i="2"/>
  <c r="J33" i="2"/>
  <c r="Q33" i="2"/>
  <c r="N33" i="2"/>
  <c r="I33" i="2"/>
  <c r="F33" i="2"/>
  <c r="M33" i="2"/>
  <c r="L33" i="2"/>
  <c r="K33" i="2"/>
  <c r="H72" i="5"/>
  <c r="I6" i="14"/>
  <c r="F21" i="8"/>
  <c r="F6" i="2"/>
  <c r="F29" i="4"/>
  <c r="G11" i="1"/>
  <c r="G7" i="9" s="1"/>
  <c r="G13" i="1"/>
  <c r="G9" i="9" s="1"/>
  <c r="G37" i="8"/>
  <c r="I23" i="9"/>
  <c r="J62" i="1"/>
  <c r="J23" i="9" s="1"/>
  <c r="I54" i="5"/>
  <c r="J61" i="1"/>
  <c r="J54" i="5" s="1"/>
  <c r="J28" i="8"/>
  <c r="I72" i="5"/>
  <c r="I32" i="5"/>
  <c r="J32" i="1"/>
  <c r="J32" i="5" s="1"/>
  <c r="J38" i="8"/>
  <c r="I27" i="5"/>
  <c r="J27" i="1"/>
  <c r="J27" i="5" s="1"/>
  <c r="I55" i="1"/>
  <c r="I18" i="9" s="1"/>
  <c r="J41" i="8"/>
  <c r="J28" i="1"/>
  <c r="J28" i="5" s="1"/>
  <c r="I28" i="5"/>
  <c r="I24" i="5"/>
  <c r="J24" i="1"/>
  <c r="J24" i="5" s="1"/>
  <c r="J15" i="1"/>
  <c r="J11" i="9" s="1"/>
  <c r="I11" i="9"/>
  <c r="I30" i="8"/>
  <c r="H29" i="8"/>
  <c r="G9" i="1"/>
  <c r="G5" i="9" s="1"/>
  <c r="G8" i="1"/>
  <c r="G4" i="9" s="1"/>
  <c r="G10" i="1"/>
  <c r="G6" i="9" s="1"/>
  <c r="H50" i="1"/>
  <c r="H52" i="5" s="1"/>
  <c r="I49" i="8"/>
  <c r="I25" i="5"/>
  <c r="J25" i="1"/>
  <c r="J25" i="5" s="1"/>
  <c r="H54" i="6"/>
  <c r="H56" i="6" s="1"/>
  <c r="G69" i="8"/>
  <c r="G70" i="8"/>
  <c r="J34" i="8"/>
  <c r="F38" i="1"/>
  <c r="I42" i="5"/>
  <c r="I22" i="2" s="1"/>
  <c r="J158" i="6"/>
  <c r="J42" i="5" s="1"/>
  <c r="J22" i="2" s="1"/>
  <c r="F54" i="6"/>
  <c r="F56" i="6" s="1"/>
  <c r="I174" i="6"/>
  <c r="I44" i="5"/>
  <c r="I23" i="2" s="1"/>
  <c r="J173" i="6"/>
  <c r="I144" i="6"/>
  <c r="I146" i="6" s="1"/>
  <c r="J144" i="6"/>
  <c r="J146" i="6" s="1"/>
  <c r="H8" i="6"/>
  <c r="H39" i="1" s="1"/>
  <c r="I157" i="6"/>
  <c r="I161" i="6" s="1"/>
  <c r="I97" i="6"/>
  <c r="I38" i="5"/>
  <c r="I18" i="2" s="1"/>
  <c r="J95" i="6"/>
  <c r="I135" i="6"/>
  <c r="J132" i="6"/>
  <c r="I40" i="5"/>
  <c r="I20" i="2" s="1"/>
  <c r="H13" i="2"/>
  <c r="H48" i="5"/>
  <c r="G144" i="6"/>
  <c r="G146" i="6" s="1"/>
  <c r="G7" i="6" s="1"/>
  <c r="J40" i="1"/>
  <c r="J43" i="5" s="1"/>
  <c r="I43" i="5"/>
  <c r="H69" i="6"/>
  <c r="H42" i="6" s="1"/>
  <c r="H44" i="6" s="1"/>
  <c r="J41" i="6"/>
  <c r="I62" i="8"/>
  <c r="I57" i="8" s="1"/>
  <c r="I33" i="5"/>
  <c r="G106" i="6"/>
  <c r="G108" i="6" s="1"/>
  <c r="I54" i="6"/>
  <c r="I56" i="6" s="1"/>
  <c r="J106" i="6"/>
  <c r="J108" i="6" s="1"/>
  <c r="G66" i="1"/>
  <c r="H56" i="8"/>
  <c r="G54" i="6"/>
  <c r="G56" i="6" s="1"/>
  <c r="F106" i="6"/>
  <c r="F108" i="6" s="1"/>
  <c r="F6" i="6" s="1"/>
  <c r="H106" i="6"/>
  <c r="H108" i="6" s="1"/>
  <c r="J54" i="6"/>
  <c r="J56" i="6" s="1"/>
  <c r="J5" i="4" l="1"/>
  <c r="J13" i="1" s="1"/>
  <c r="J9" i="9" s="1"/>
  <c r="J25" i="4"/>
  <c r="J9" i="4"/>
  <c r="J7" i="4"/>
  <c r="J10" i="4" s="1"/>
  <c r="J8" i="4"/>
  <c r="J6" i="4"/>
  <c r="J57" i="1"/>
  <c r="J20" i="9" s="1"/>
  <c r="G54" i="1"/>
  <c r="G17" i="9" s="1"/>
  <c r="G53" i="1"/>
  <c r="G16" i="9" s="1"/>
  <c r="G24" i="9" s="1"/>
  <c r="J14" i="1"/>
  <c r="J10" i="9" s="1"/>
  <c r="F32" i="4"/>
  <c r="F33" i="4"/>
  <c r="F7" i="2"/>
  <c r="F8" i="2" s="1"/>
  <c r="J72" i="5"/>
  <c r="J12" i="4"/>
  <c r="J7" i="5" s="1"/>
  <c r="J47" i="5" s="1"/>
  <c r="I7" i="5"/>
  <c r="I47" i="5" s="1"/>
  <c r="J37" i="8"/>
  <c r="J11" i="1"/>
  <c r="J7" i="9" s="1"/>
  <c r="J56" i="1"/>
  <c r="J19" i="9" s="1"/>
  <c r="H13" i="1"/>
  <c r="H9" i="9" s="1"/>
  <c r="H37" i="8"/>
  <c r="H11" i="1"/>
  <c r="H7" i="9" s="1"/>
  <c r="J55" i="1"/>
  <c r="J18" i="9" s="1"/>
  <c r="G32" i="4"/>
  <c r="G33" i="4"/>
  <c r="G7" i="2"/>
  <c r="G8" i="2" s="1"/>
  <c r="G14" i="9"/>
  <c r="I8" i="4"/>
  <c r="I5" i="4"/>
  <c r="I25" i="4"/>
  <c r="I88" i="1" s="1"/>
  <c r="J88" i="1" s="1"/>
  <c r="I7" i="4"/>
  <c r="I9" i="4"/>
  <c r="I6" i="4"/>
  <c r="I57" i="1"/>
  <c r="I20" i="9" s="1"/>
  <c r="I56" i="1"/>
  <c r="I19" i="9" s="1"/>
  <c r="H10" i="4"/>
  <c r="I29" i="8"/>
  <c r="J30" i="8"/>
  <c r="J29" i="8" s="1"/>
  <c r="I51" i="8"/>
  <c r="I52" i="8" s="1"/>
  <c r="J53" i="1"/>
  <c r="J16" i="9" s="1"/>
  <c r="J54" i="1"/>
  <c r="J17" i="9" s="1"/>
  <c r="H8" i="1"/>
  <c r="H4" i="9" s="1"/>
  <c r="H10" i="1"/>
  <c r="H6" i="9" s="1"/>
  <c r="H9" i="1"/>
  <c r="H5" i="9" s="1"/>
  <c r="G68" i="1"/>
  <c r="G57" i="5" s="1"/>
  <c r="H67" i="8"/>
  <c r="H7" i="6"/>
  <c r="G38" i="1"/>
  <c r="I13" i="2"/>
  <c r="I48" i="5"/>
  <c r="J135" i="6"/>
  <c r="D138" i="6" s="1" a="1"/>
  <c r="J40" i="5"/>
  <c r="J20" i="2" s="1"/>
  <c r="F4" i="6"/>
  <c r="J174" i="6"/>
  <c r="D177" i="6" s="1" a="1"/>
  <c r="J44" i="5"/>
  <c r="J23" i="2" s="1"/>
  <c r="G6" i="6"/>
  <c r="F37" i="1"/>
  <c r="H71" i="6"/>
  <c r="J157" i="6"/>
  <c r="J161" i="6" s="1"/>
  <c r="J8" i="6" s="1"/>
  <c r="J39" i="1" s="1"/>
  <c r="I8" i="6"/>
  <c r="I39" i="1" s="1"/>
  <c r="H59" i="8"/>
  <c r="H60" i="8" s="1"/>
  <c r="J62" i="8"/>
  <c r="J57" i="8" s="1"/>
  <c r="J33" i="5"/>
  <c r="J38" i="5"/>
  <c r="J18" i="2" s="1"/>
  <c r="J97" i="6"/>
  <c r="D100" i="6" s="1" a="1"/>
  <c r="G55" i="5"/>
  <c r="J29" i="4" l="1"/>
  <c r="J6" i="2"/>
  <c r="J21" i="8"/>
  <c r="H54" i="1"/>
  <c r="H17" i="9" s="1"/>
  <c r="H53" i="1"/>
  <c r="H16" i="9" s="1"/>
  <c r="G26" i="9"/>
  <c r="G9" i="5" s="1"/>
  <c r="G11" i="2" s="1"/>
  <c r="H6" i="2"/>
  <c r="H29" i="4"/>
  <c r="H21" i="8"/>
  <c r="J24" i="9"/>
  <c r="I13" i="1"/>
  <c r="I9" i="9" s="1"/>
  <c r="I37" i="8"/>
  <c r="I11" i="1"/>
  <c r="I7" i="9" s="1"/>
  <c r="I10" i="4"/>
  <c r="H14" i="9"/>
  <c r="G74" i="1"/>
  <c r="J49" i="8"/>
  <c r="I50" i="1"/>
  <c r="I52" i="5" s="1"/>
  <c r="J8" i="1"/>
  <c r="J4" i="9" s="1"/>
  <c r="J10" i="1"/>
  <c r="J6" i="9" s="1"/>
  <c r="J9" i="1"/>
  <c r="J5" i="9" s="1"/>
  <c r="H69" i="8"/>
  <c r="H70" i="8"/>
  <c r="I8" i="1"/>
  <c r="I4" i="9" s="1"/>
  <c r="I10" i="1"/>
  <c r="I6" i="9" s="1"/>
  <c r="I9" i="1"/>
  <c r="I5" i="9" s="1"/>
  <c r="D140" i="6"/>
  <c r="D139" i="6"/>
  <c r="D138" i="6"/>
  <c r="D142" i="6"/>
  <c r="D141" i="6"/>
  <c r="G4" i="6"/>
  <c r="F33" i="1"/>
  <c r="D181" i="6"/>
  <c r="J181" i="6" s="1"/>
  <c r="D180" i="6"/>
  <c r="D179" i="6"/>
  <c r="D178" i="6"/>
  <c r="D177" i="6"/>
  <c r="D100" i="6"/>
  <c r="D104" i="6"/>
  <c r="D101" i="6"/>
  <c r="D103" i="6"/>
  <c r="D102" i="6"/>
  <c r="I56" i="8"/>
  <c r="H66" i="1"/>
  <c r="I67" i="6"/>
  <c r="H5" i="6"/>
  <c r="H34" i="1" s="1"/>
  <c r="H6" i="6"/>
  <c r="G37" i="1"/>
  <c r="H38" i="1"/>
  <c r="I7" i="6"/>
  <c r="J13" i="2"/>
  <c r="J48" i="5"/>
  <c r="I53" i="1" l="1"/>
  <c r="I16" i="9" s="1"/>
  <c r="I54" i="1"/>
  <c r="I17" i="9" s="1"/>
  <c r="H33" i="4"/>
  <c r="H32" i="4"/>
  <c r="H7" i="2"/>
  <c r="H8" i="2" s="1"/>
  <c r="H24" i="9"/>
  <c r="H26" i="9"/>
  <c r="H9" i="5" s="1"/>
  <c r="H11" i="2" s="1"/>
  <c r="I29" i="4"/>
  <c r="I6" i="2"/>
  <c r="I21" i="8"/>
  <c r="J7" i="2"/>
  <c r="J8" i="2" s="1"/>
  <c r="I67" i="8"/>
  <c r="H68" i="1"/>
  <c r="H57" i="5" s="1"/>
  <c r="J52" i="8"/>
  <c r="J51" i="8"/>
  <c r="J50" i="1" s="1"/>
  <c r="J52" i="5" s="1"/>
  <c r="J14" i="9"/>
  <c r="J26" i="9" s="1"/>
  <c r="I14" i="9"/>
  <c r="I69" i="6"/>
  <c r="I42" i="6" s="1"/>
  <c r="I44" i="6" s="1"/>
  <c r="I59" i="8"/>
  <c r="I60" i="8" s="1"/>
  <c r="H178" i="6"/>
  <c r="G178" i="6"/>
  <c r="J178" i="6"/>
  <c r="I178" i="6"/>
  <c r="J7" i="6"/>
  <c r="J38" i="1" s="1"/>
  <c r="I38" i="1"/>
  <c r="H37" i="1"/>
  <c r="I6" i="6"/>
  <c r="J179" i="6"/>
  <c r="H179" i="6"/>
  <c r="I179" i="6"/>
  <c r="J180" i="6"/>
  <c r="I180" i="6"/>
  <c r="H74" i="1"/>
  <c r="H55" i="5"/>
  <c r="G33" i="1"/>
  <c r="H4" i="6"/>
  <c r="J177" i="6"/>
  <c r="J183" i="6" s="1"/>
  <c r="J185" i="6" s="1"/>
  <c r="J10" i="6" s="1"/>
  <c r="J30" i="4" s="1"/>
  <c r="H177" i="6"/>
  <c r="H183" i="6" s="1"/>
  <c r="H185" i="6" s="1"/>
  <c r="H10" i="6" s="1"/>
  <c r="H30" i="4" s="1"/>
  <c r="F177" i="6"/>
  <c r="F183" i="6" s="1"/>
  <c r="F185" i="6" s="1"/>
  <c r="I177" i="6"/>
  <c r="G177" i="6"/>
  <c r="I7" i="2" l="1"/>
  <c r="I8" i="2" s="1"/>
  <c r="I26" i="9"/>
  <c r="I9" i="5" s="1"/>
  <c r="I11" i="2" s="1"/>
  <c r="J9" i="5"/>
  <c r="J11" i="2" s="1"/>
  <c r="I24" i="9"/>
  <c r="I69" i="8"/>
  <c r="I70" i="8"/>
  <c r="J31" i="4"/>
  <c r="J6" i="5"/>
  <c r="J10" i="2" s="1"/>
  <c r="H6" i="5"/>
  <c r="H10" i="2" s="1"/>
  <c r="H25" i="2" s="1"/>
  <c r="H31" i="4"/>
  <c r="I66" i="1"/>
  <c r="J56" i="8"/>
  <c r="I4" i="6"/>
  <c r="H33" i="1"/>
  <c r="G183" i="6"/>
  <c r="G185" i="6" s="1"/>
  <c r="G10" i="6" s="1"/>
  <c r="G30" i="4" s="1"/>
  <c r="I183" i="6"/>
  <c r="I185" i="6" s="1"/>
  <c r="I10" i="6" s="1"/>
  <c r="I30" i="4" s="1"/>
  <c r="F9" i="6"/>
  <c r="F10" i="6"/>
  <c r="F30" i="4" s="1"/>
  <c r="I37" i="1"/>
  <c r="J6" i="6"/>
  <c r="J37" i="1" s="1"/>
  <c r="I71" i="6"/>
  <c r="J25" i="2" l="1"/>
  <c r="I68" i="1"/>
  <c r="I57" i="5" s="1"/>
  <c r="J67" i="8"/>
  <c r="J59" i="8"/>
  <c r="J66" i="1" s="1"/>
  <c r="I55" i="5"/>
  <c r="I74" i="1"/>
  <c r="G6" i="5"/>
  <c r="G10" i="2" s="1"/>
  <c r="G25" i="2" s="1"/>
  <c r="G31" i="4"/>
  <c r="I33" i="1"/>
  <c r="H34" i="2"/>
  <c r="H26" i="2"/>
  <c r="J34" i="2"/>
  <c r="F41" i="1"/>
  <c r="F44" i="1" s="1"/>
  <c r="G9" i="6"/>
  <c r="I5" i="6"/>
  <c r="I34" i="1" s="1"/>
  <c r="J67" i="6"/>
  <c r="F31" i="4"/>
  <c r="K18" i="12" s="1"/>
  <c r="F10" i="2"/>
  <c r="F25" i="2" s="1"/>
  <c r="F34" i="2" s="1"/>
  <c r="I6" i="5"/>
  <c r="I10" i="2" s="1"/>
  <c r="I25" i="2" s="1"/>
  <c r="I31" i="4"/>
  <c r="J69" i="8" l="1"/>
  <c r="J68" i="1" s="1"/>
  <c r="J57" i="5" s="1"/>
  <c r="J70" i="8"/>
  <c r="I34" i="2"/>
  <c r="I26" i="2"/>
  <c r="K25" i="12"/>
  <c r="K24" i="12"/>
  <c r="D9" i="14" s="1"/>
  <c r="K26" i="12"/>
  <c r="C9" i="14" s="1"/>
  <c r="K23" i="12"/>
  <c r="F9" i="14" s="1"/>
  <c r="I9" i="14" s="1"/>
  <c r="J69" i="6"/>
  <c r="J42" i="6" s="1"/>
  <c r="J44" i="6" s="1"/>
  <c r="H9" i="6"/>
  <c r="G41" i="1"/>
  <c r="G44" i="1" s="1"/>
  <c r="G26" i="2"/>
  <c r="G34" i="2"/>
  <c r="J55" i="5"/>
  <c r="J74" i="1"/>
  <c r="J26" i="2"/>
  <c r="K26" i="2" s="1"/>
  <c r="J60" i="8"/>
  <c r="H41" i="1" l="1"/>
  <c r="H44" i="1" s="1"/>
  <c r="I9" i="6"/>
  <c r="J71" i="6"/>
  <c r="J5" i="6" s="1"/>
  <c r="J34" i="1" s="1"/>
  <c r="L26" i="2"/>
  <c r="M26" i="2" s="1"/>
  <c r="N26" i="2" s="1"/>
  <c r="O26" i="2" s="1"/>
  <c r="P26" i="2" s="1"/>
  <c r="Q26" i="2" s="1"/>
  <c r="K25" i="2"/>
  <c r="D48" i="6" a="1"/>
  <c r="J4" i="6"/>
  <c r="J33" i="1" s="1"/>
  <c r="D50" i="6" l="1"/>
  <c r="D49" i="6"/>
  <c r="D48" i="6"/>
  <c r="D52" i="6"/>
  <c r="D51" i="6"/>
  <c r="I41" i="1"/>
  <c r="I44" i="1" s="1"/>
  <c r="J9" i="6"/>
  <c r="J41" i="1" s="1"/>
  <c r="J44" i="1" s="1"/>
  <c r="L25" i="2"/>
  <c r="K34" i="2"/>
  <c r="M25" i="2" l="1"/>
  <c r="L34" i="2"/>
  <c r="N25" i="2" l="1"/>
  <c r="M34" i="2"/>
  <c r="O25" i="2" l="1"/>
  <c r="N34" i="2"/>
  <c r="P25" i="2" l="1"/>
  <c r="O34" i="2"/>
  <c r="Q25" i="2" l="1"/>
  <c r="P34" i="2"/>
  <c r="Q37" i="2" l="1"/>
  <c r="Q40" i="2" s="1"/>
  <c r="Q34" i="2"/>
  <c r="F42" i="2" l="1"/>
  <c r="F55" i="2" s="1"/>
  <c r="F57" i="2" s="1"/>
  <c r="C4" i="14" l="1"/>
  <c r="C61" i="2"/>
  <c r="F19" i="8"/>
  <c r="G19" i="8"/>
  <c r="H19" i="8"/>
  <c r="I19" i="8"/>
  <c r="J19" i="8"/>
  <c r="F22" i="8"/>
  <c r="G22" i="8"/>
  <c r="H22" i="8"/>
  <c r="I22" i="8"/>
  <c r="J22" i="8"/>
  <c r="G74" i="8"/>
  <c r="H74" i="8"/>
  <c r="I74" i="8"/>
  <c r="J74" i="8"/>
  <c r="F75" i="8"/>
  <c r="G75" i="8"/>
  <c r="H75" i="8"/>
  <c r="I75" i="8"/>
  <c r="J75" i="8"/>
  <c r="F76" i="8"/>
  <c r="G76" i="8"/>
  <c r="H76" i="8"/>
  <c r="I76" i="8"/>
  <c r="J76" i="8"/>
  <c r="G80" i="8"/>
  <c r="H80" i="8"/>
  <c r="I80" i="8"/>
  <c r="J80" i="8"/>
  <c r="F81" i="8"/>
  <c r="G81" i="8"/>
  <c r="H81" i="8"/>
  <c r="I81" i="8"/>
  <c r="J81" i="8"/>
  <c r="F82" i="8"/>
  <c r="G82" i="8"/>
  <c r="H82" i="8"/>
  <c r="I82" i="8"/>
  <c r="J82" i="8"/>
  <c r="F84" i="8"/>
  <c r="G84" i="8"/>
  <c r="H84" i="8"/>
  <c r="I84" i="8"/>
  <c r="J84" i="8"/>
  <c r="F5" i="1"/>
  <c r="G5" i="1"/>
  <c r="H5" i="1"/>
  <c r="I5" i="1"/>
  <c r="J5" i="1"/>
  <c r="F19" i="1"/>
  <c r="G19" i="1"/>
  <c r="H19" i="1"/>
  <c r="I19" i="1"/>
  <c r="J19" i="1"/>
  <c r="F46" i="1"/>
  <c r="G46" i="1"/>
  <c r="H46" i="1"/>
  <c r="I46" i="1"/>
  <c r="J46" i="1"/>
  <c r="F49" i="1"/>
  <c r="G49" i="1"/>
  <c r="H49" i="1"/>
  <c r="I49" i="1"/>
  <c r="J49" i="1"/>
  <c r="F63" i="1"/>
  <c r="G63" i="1"/>
  <c r="H63" i="1"/>
  <c r="I63" i="1"/>
  <c r="J63" i="1"/>
  <c r="F76" i="1"/>
  <c r="G76" i="1"/>
  <c r="H76" i="1"/>
  <c r="I76" i="1"/>
  <c r="J76" i="1"/>
  <c r="F85" i="1"/>
  <c r="G85" i="1"/>
  <c r="H85" i="1"/>
  <c r="I85" i="1"/>
  <c r="J85" i="1"/>
  <c r="F86" i="1"/>
  <c r="G86" i="1"/>
  <c r="H86" i="1"/>
  <c r="I86" i="1"/>
  <c r="J86" i="1"/>
  <c r="F87" i="1"/>
  <c r="G87" i="1"/>
  <c r="H87" i="1"/>
  <c r="I87" i="1"/>
  <c r="J87" i="1"/>
  <c r="F89" i="1"/>
  <c r="G89" i="1"/>
  <c r="H89" i="1"/>
  <c r="I89" i="1"/>
  <c r="J89" i="1"/>
  <c r="F91" i="1"/>
  <c r="G91" i="1"/>
  <c r="H91" i="1"/>
  <c r="I91" i="1"/>
  <c r="J91" i="1"/>
  <c r="F93" i="1"/>
  <c r="G93" i="1"/>
  <c r="H93" i="1"/>
  <c r="I93" i="1"/>
  <c r="J93" i="1"/>
  <c r="F5" i="5"/>
  <c r="G5" i="5"/>
  <c r="H5" i="5"/>
  <c r="I5" i="5"/>
  <c r="J5" i="5"/>
  <c r="F8" i="5"/>
  <c r="G8" i="5"/>
  <c r="H8" i="5"/>
  <c r="I8" i="5"/>
  <c r="J8" i="5"/>
  <c r="F17" i="5"/>
  <c r="G17" i="5"/>
  <c r="H17" i="5"/>
  <c r="I17" i="5"/>
  <c r="J17" i="5"/>
  <c r="G51" i="5"/>
  <c r="H51" i="5"/>
  <c r="I51" i="5"/>
  <c r="J51" i="5"/>
  <c r="F64" i="5"/>
  <c r="G64" i="5"/>
  <c r="H64" i="5"/>
  <c r="I64" i="5"/>
  <c r="J64" i="5"/>
  <c r="F65" i="5"/>
  <c r="G65" i="5"/>
  <c r="H65" i="5"/>
  <c r="I65" i="5"/>
  <c r="J65" i="5"/>
  <c r="F66" i="5"/>
  <c r="G66" i="5"/>
  <c r="H66" i="5"/>
  <c r="I66" i="5"/>
  <c r="J66" i="5"/>
  <c r="G68" i="5"/>
  <c r="H68" i="5"/>
  <c r="I68" i="5"/>
  <c r="J68" i="5"/>
  <c r="F69" i="5"/>
  <c r="G69" i="5"/>
  <c r="H69" i="5"/>
  <c r="I69" i="5"/>
  <c r="J69" i="5"/>
  <c r="F70" i="5"/>
  <c r="G70" i="5"/>
  <c r="H70" i="5"/>
  <c r="I70" i="5"/>
  <c r="J70" i="5"/>
  <c r="F74" i="5"/>
  <c r="G74" i="5"/>
  <c r="H74" i="5"/>
  <c r="I74" i="5"/>
  <c r="J74" i="5"/>
  <c r="F76" i="5"/>
  <c r="G76" i="5"/>
  <c r="H76" i="5"/>
  <c r="I76" i="5"/>
  <c r="J76" i="5"/>
  <c r="F11" i="4"/>
  <c r="G11" i="4"/>
  <c r="H11" i="4"/>
  <c r="I11" i="4"/>
  <c r="J11" i="4"/>
  <c r="F22" i="4"/>
  <c r="G22" i="4"/>
  <c r="H22" i="4"/>
  <c r="I22" i="4"/>
  <c r="J22" i="4"/>
  <c r="F23" i="4"/>
  <c r="G23" i="4"/>
  <c r="H23" i="4"/>
  <c r="I23" i="4"/>
  <c r="J23" i="4"/>
  <c r="F24" i="4"/>
  <c r="G24" i="4"/>
  <c r="H24" i="4"/>
  <c r="I24" i="4"/>
  <c r="J24" i="4"/>
  <c r="F26" i="4"/>
  <c r="G26" i="4"/>
  <c r="H26" i="4"/>
  <c r="I26" i="4"/>
  <c r="J26" i="4"/>
  <c r="F27" i="4"/>
  <c r="G27" i="4"/>
  <c r="H27" i="4"/>
  <c r="I27" i="4"/>
  <c r="J27" i="4"/>
  <c r="G49" i="16"/>
  <c r="H49" i="16"/>
  <c r="I49" i="16"/>
  <c r="J49" i="16"/>
  <c r="K49" i="16"/>
  <c r="G50" i="16"/>
  <c r="H50" i="16"/>
  <c r="I50" i="16"/>
  <c r="J50" i="16"/>
  <c r="K50" i="16"/>
</calcChain>
</file>

<file path=xl/sharedStrings.xml><?xml version="1.0" encoding="utf-8"?>
<sst xmlns="http://schemas.openxmlformats.org/spreadsheetml/2006/main" count="690" uniqueCount="534">
  <si>
    <r>
      <rPr>
        <b/>
        <sz val="10"/>
        <color theme="0"/>
        <rFont val="Microsoft YaHei Light"/>
        <family val="2"/>
        <charset val="134"/>
      </rPr>
      <t>单位：百万元</t>
    </r>
  </si>
  <si>
    <t>模型备注</t>
  </si>
  <si>
    <r>
      <rPr>
        <sz val="10"/>
        <color theme="1"/>
        <rFont val="Microsoft YaHei Light"/>
        <family val="2"/>
        <charset val="134"/>
      </rPr>
      <t>营业总收入</t>
    </r>
  </si>
  <si>
    <r>
      <rPr>
        <sz val="10"/>
        <color theme="1"/>
        <rFont val="Microsoft YaHei Light"/>
        <family val="2"/>
        <charset val="134"/>
      </rPr>
      <t>营业成本</t>
    </r>
  </si>
  <si>
    <r>
      <rPr>
        <sz val="10"/>
        <color theme="1"/>
        <rFont val="Microsoft YaHei Light"/>
        <family val="2"/>
        <charset val="134"/>
      </rPr>
      <t>税金及附加</t>
    </r>
  </si>
  <si>
    <r>
      <rPr>
        <sz val="10"/>
        <color theme="1"/>
        <rFont val="Microsoft YaHei Light"/>
        <family val="2"/>
        <charset val="134"/>
      </rPr>
      <t>销售费用</t>
    </r>
  </si>
  <si>
    <r>
      <rPr>
        <sz val="10"/>
        <color theme="1"/>
        <rFont val="Microsoft YaHei Light"/>
        <family val="2"/>
        <charset val="134"/>
      </rPr>
      <t>管理费用</t>
    </r>
  </si>
  <si>
    <r>
      <rPr>
        <sz val="10"/>
        <color theme="1"/>
        <rFont val="Microsoft YaHei Light"/>
        <family val="2"/>
        <charset val="134"/>
      </rPr>
      <t>研发费用</t>
    </r>
  </si>
  <si>
    <t>EBIT</t>
  </si>
  <si>
    <t>财务费用</t>
  </si>
  <si>
    <r>
      <rPr>
        <b/>
        <sz val="10"/>
        <color theme="1"/>
        <rFont val="Microsoft YaHei Light"/>
        <family val="2"/>
        <charset val="134"/>
      </rPr>
      <t>非经常性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Microsoft YaHei Light"/>
        <family val="2"/>
        <charset val="134"/>
      </rPr>
      <t>非经营性损益</t>
    </r>
  </si>
  <si>
    <r>
      <rPr>
        <sz val="10"/>
        <color theme="1"/>
        <rFont val="Microsoft YaHei Light"/>
        <family val="2"/>
        <charset val="134"/>
      </rPr>
      <t>公司非经常性损益</t>
    </r>
    <r>
      <rPr>
        <sz val="10"/>
        <color theme="1"/>
        <rFont val="宋体"/>
        <family val="3"/>
        <charset val="134"/>
      </rPr>
      <t>有一定波动</t>
    </r>
    <r>
      <rPr>
        <sz val="10"/>
        <color theme="1"/>
        <rFont val="Microsoft YaHei Light"/>
        <family val="2"/>
        <charset val="134"/>
      </rPr>
      <t>，假定维持历史</t>
    </r>
    <r>
      <rPr>
        <sz val="10"/>
        <color theme="1"/>
        <rFont val="宋体"/>
        <family val="3"/>
        <charset val="134"/>
      </rPr>
      <t>平均</t>
    </r>
    <r>
      <rPr>
        <sz val="10"/>
        <color theme="1"/>
        <rFont val="Microsoft YaHei Light"/>
        <family val="2"/>
        <charset val="134"/>
      </rPr>
      <t>水平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</si>
  <si>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其他收益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</si>
  <si>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投资收益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</si>
  <si>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净敞口套期收益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</si>
  <si>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公允价值变动收益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</si>
  <si>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信用减值损失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</si>
  <si>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资产减值损失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</si>
  <si>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资产处置收益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</si>
  <si>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营业外收入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</si>
  <si>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营业外支出</t>
    </r>
  </si>
  <si>
    <t>税前利润</t>
  </si>
  <si>
    <r>
      <rPr>
        <sz val="10"/>
        <color theme="1"/>
        <rFont val="Microsoft YaHei Light"/>
        <family val="2"/>
        <charset val="134"/>
      </rPr>
      <t>　　所得税费用</t>
    </r>
  </si>
  <si>
    <r>
      <rPr>
        <b/>
        <sz val="10"/>
        <color theme="1"/>
        <rFont val="Microsoft YaHei Light"/>
        <family val="2"/>
        <charset val="134"/>
      </rPr>
      <t>净利润</t>
    </r>
  </si>
  <si>
    <r>
      <rPr>
        <sz val="10"/>
        <color theme="1"/>
        <rFont val="Microsoft YaHei Light"/>
        <family val="2"/>
        <charset val="134"/>
      </rPr>
      <t>　　少数股东损益</t>
    </r>
  </si>
  <si>
    <r>
      <rPr>
        <b/>
        <sz val="10"/>
        <color theme="1"/>
        <rFont val="Microsoft YaHei Light"/>
        <family val="2"/>
        <charset val="134"/>
      </rPr>
      <t>　　归属于母公司所有者的净利润</t>
    </r>
  </si>
  <si>
    <r>
      <rPr>
        <sz val="10"/>
        <color theme="1"/>
        <rFont val="Arial"/>
        <family val="2"/>
      </rPr>
      <t xml:space="preserve">       </t>
    </r>
    <r>
      <rPr>
        <sz val="10"/>
        <color theme="1"/>
        <rFont val="Microsoft YaHei Light"/>
        <family val="2"/>
        <charset val="134"/>
      </rPr>
      <t>向母公司股东的分红</t>
    </r>
  </si>
  <si>
    <r>
      <rPr>
        <sz val="10"/>
        <color theme="1"/>
        <rFont val="Microsoft YaHei Light"/>
        <family val="2"/>
        <charset val="134"/>
      </rPr>
      <t>折旧摊销</t>
    </r>
  </si>
  <si>
    <t>EBITDA</t>
  </si>
  <si>
    <r>
      <rPr>
        <sz val="10"/>
        <color theme="1"/>
        <rFont val="Microsoft YaHei Light"/>
        <family val="2"/>
        <charset val="134"/>
      </rPr>
      <t>模型备注</t>
    </r>
  </si>
  <si>
    <r>
      <rPr>
        <b/>
        <sz val="10"/>
        <color theme="1"/>
        <rFont val="Microsoft YaHei Light"/>
        <family val="2"/>
        <charset val="134"/>
      </rPr>
      <t>流动资产：</t>
    </r>
  </si>
  <si>
    <r>
      <rPr>
        <sz val="10"/>
        <color theme="1"/>
        <rFont val="Microsoft YaHei Light"/>
        <family val="2"/>
        <charset val="134"/>
      </rPr>
      <t>　　货币资金</t>
    </r>
  </si>
  <si>
    <r>
      <rPr>
        <sz val="10"/>
        <color theme="1"/>
        <rFont val="Microsoft YaHei Light"/>
        <family val="2"/>
        <charset val="134"/>
      </rPr>
      <t>　　交易性金融资产</t>
    </r>
  </si>
  <si>
    <r>
      <rPr>
        <sz val="10"/>
        <color theme="1"/>
        <rFont val="Microsoft YaHei Light"/>
        <family val="2"/>
        <charset val="134"/>
      </rPr>
      <t>按上一年度</t>
    </r>
  </si>
  <si>
    <r>
      <rPr>
        <sz val="10"/>
        <color theme="1"/>
        <rFont val="Microsoft YaHei Light"/>
        <family val="2"/>
        <charset val="134"/>
      </rPr>
      <t>　　衍生金融资产</t>
    </r>
  </si>
  <si>
    <r>
      <rPr>
        <sz val="10"/>
        <color theme="1"/>
        <rFont val="Microsoft YaHei Light"/>
        <family val="2"/>
        <charset val="134"/>
      </rPr>
      <t>　　应收票据</t>
    </r>
  </si>
  <si>
    <r>
      <rPr>
        <sz val="10"/>
        <color theme="1"/>
        <rFont val="Microsoft YaHei Light"/>
        <family val="2"/>
        <charset val="134"/>
      </rPr>
      <t>　　应收账款</t>
    </r>
  </si>
  <si>
    <r>
      <rPr>
        <sz val="10"/>
        <color theme="1"/>
        <rFont val="Microsoft YaHei Light"/>
        <family val="2"/>
        <charset val="134"/>
      </rPr>
      <t>　　应收款项融资</t>
    </r>
  </si>
  <si>
    <r>
      <rPr>
        <sz val="10"/>
        <color theme="1"/>
        <rFont val="Microsoft YaHei Light"/>
        <family val="2"/>
        <charset val="134"/>
      </rPr>
      <t>　　预付款项</t>
    </r>
  </si>
  <si>
    <r>
      <rPr>
        <sz val="10"/>
        <color theme="1"/>
        <rFont val="Microsoft YaHei Light"/>
        <family val="2"/>
        <charset val="134"/>
      </rPr>
      <t>　　其他应收款</t>
    </r>
  </si>
  <si>
    <r>
      <rPr>
        <sz val="10"/>
        <color theme="1"/>
        <rFont val="Microsoft YaHei Light"/>
        <family val="2"/>
        <charset val="134"/>
      </rPr>
      <t>变化不大，按前三年均值</t>
    </r>
  </si>
  <si>
    <r>
      <rPr>
        <sz val="10"/>
        <color theme="1"/>
        <rFont val="Microsoft YaHei Light"/>
        <family val="2"/>
        <charset val="134"/>
      </rPr>
      <t>　　存货</t>
    </r>
  </si>
  <si>
    <r>
      <rPr>
        <sz val="10"/>
        <color theme="1"/>
        <rFont val="Microsoft YaHei Light"/>
        <family val="2"/>
        <charset val="134"/>
      </rPr>
      <t>　　合同资产</t>
    </r>
  </si>
  <si>
    <r>
      <rPr>
        <sz val="10"/>
        <color theme="1"/>
        <rFont val="Microsoft YaHei Light"/>
        <family val="2"/>
        <charset val="134"/>
      </rPr>
      <t>　　持有待售资产</t>
    </r>
  </si>
  <si>
    <r>
      <rPr>
        <sz val="10"/>
        <color theme="1"/>
        <rFont val="Microsoft YaHei Light"/>
        <family val="2"/>
        <charset val="134"/>
      </rPr>
      <t>　　一年内到期的非流动资产</t>
    </r>
  </si>
  <si>
    <r>
      <rPr>
        <sz val="10"/>
        <color theme="1"/>
        <rFont val="Microsoft YaHei Light"/>
        <family val="2"/>
        <charset val="134"/>
      </rPr>
      <t>　　其他流动资产</t>
    </r>
  </si>
  <si>
    <r>
      <rPr>
        <sz val="10"/>
        <color theme="1"/>
        <rFont val="Microsoft YaHei Light"/>
        <family val="2"/>
        <charset val="134"/>
      </rPr>
      <t>按前三年均值</t>
    </r>
  </si>
  <si>
    <t xml:space="preserve">    流动资产差额(特殊报表科目)</t>
  </si>
  <si>
    <r>
      <rPr>
        <b/>
        <sz val="10"/>
        <color theme="1"/>
        <rFont val="Microsoft YaHei Light"/>
        <family val="2"/>
        <charset val="134"/>
      </rPr>
      <t>　　流动资产合计</t>
    </r>
  </si>
  <si>
    <r>
      <rPr>
        <b/>
        <sz val="10"/>
        <color theme="1"/>
        <rFont val="Microsoft YaHei Light"/>
        <family val="2"/>
        <charset val="134"/>
      </rPr>
      <t>非流动资产：</t>
    </r>
  </si>
  <si>
    <r>
      <rPr>
        <sz val="10"/>
        <color theme="1"/>
        <rFont val="Microsoft YaHei Light"/>
        <family val="2"/>
        <charset val="134"/>
      </rPr>
      <t>　　以公允价值计量且其变动计入其他综合收益的金融资产</t>
    </r>
  </si>
  <si>
    <r>
      <rPr>
        <sz val="10"/>
        <color theme="1"/>
        <rFont val="Microsoft YaHei Light"/>
        <family val="2"/>
        <charset val="134"/>
      </rPr>
      <t>　　以摊余成本计量的金融资产</t>
    </r>
  </si>
  <si>
    <r>
      <rPr>
        <sz val="10"/>
        <color theme="1"/>
        <rFont val="Microsoft YaHei Light"/>
        <family val="2"/>
        <charset val="134"/>
      </rPr>
      <t>　　可供出售金融资产</t>
    </r>
  </si>
  <si>
    <r>
      <rPr>
        <sz val="10"/>
        <color theme="1"/>
        <rFont val="Microsoft YaHei Light"/>
        <family val="2"/>
        <charset val="134"/>
      </rPr>
      <t>　　持有至到期投资</t>
    </r>
  </si>
  <si>
    <r>
      <rPr>
        <sz val="10"/>
        <color theme="1"/>
        <rFont val="Microsoft YaHei Light"/>
        <family val="2"/>
        <charset val="134"/>
      </rPr>
      <t>　　债权投资</t>
    </r>
  </si>
  <si>
    <r>
      <rPr>
        <sz val="10"/>
        <color theme="1"/>
        <rFont val="Microsoft YaHei Light"/>
        <family val="2"/>
        <charset val="134"/>
      </rPr>
      <t>　　其他债权投资</t>
    </r>
  </si>
  <si>
    <r>
      <rPr>
        <sz val="10"/>
        <color theme="1"/>
        <rFont val="Microsoft YaHei Light"/>
        <family val="2"/>
        <charset val="134"/>
      </rPr>
      <t>　　长期应收款</t>
    </r>
  </si>
  <si>
    <r>
      <rPr>
        <sz val="10"/>
        <color theme="1"/>
        <rFont val="Microsoft YaHei Light"/>
        <family val="2"/>
        <charset val="134"/>
      </rPr>
      <t>　　长期股权投资</t>
    </r>
  </si>
  <si>
    <r>
      <rPr>
        <sz val="10"/>
        <color theme="1"/>
        <rFont val="Microsoft YaHei Light"/>
        <family val="2"/>
        <charset val="134"/>
      </rPr>
      <t>　　其他权益工具投资</t>
    </r>
  </si>
  <si>
    <r>
      <rPr>
        <sz val="10"/>
        <color theme="1"/>
        <rFont val="Microsoft YaHei Light"/>
        <family val="2"/>
        <charset val="134"/>
      </rPr>
      <t>　　其他非流动金融资产</t>
    </r>
  </si>
  <si>
    <r>
      <rPr>
        <sz val="10"/>
        <color theme="1"/>
        <rFont val="Microsoft YaHei Light"/>
        <family val="2"/>
        <charset val="134"/>
      </rPr>
      <t>　　投资性房地产</t>
    </r>
  </si>
  <si>
    <r>
      <rPr>
        <sz val="10"/>
        <color theme="1"/>
        <rFont val="Microsoft YaHei Light"/>
        <family val="2"/>
        <charset val="134"/>
      </rPr>
      <t>　　固定资产</t>
    </r>
  </si>
  <si>
    <r>
      <rPr>
        <sz val="10"/>
        <color theme="1"/>
        <rFont val="Microsoft YaHei Light"/>
        <family val="2"/>
        <charset val="134"/>
      </rPr>
      <t>　　在建工程</t>
    </r>
  </si>
  <si>
    <r>
      <rPr>
        <sz val="10"/>
        <color theme="1"/>
        <rFont val="Microsoft YaHei Light"/>
        <family val="2"/>
        <charset val="134"/>
      </rPr>
      <t>　　生产性生物资产</t>
    </r>
  </si>
  <si>
    <r>
      <rPr>
        <sz val="10"/>
        <color theme="1"/>
        <rFont val="Microsoft YaHei Light"/>
        <family val="2"/>
        <charset val="134"/>
      </rPr>
      <t>　　油气资产</t>
    </r>
  </si>
  <si>
    <r>
      <rPr>
        <sz val="10"/>
        <color theme="1"/>
        <rFont val="Microsoft YaHei Light"/>
        <family val="2"/>
        <charset val="134"/>
      </rPr>
      <t>　　使用权资产</t>
    </r>
  </si>
  <si>
    <r>
      <rPr>
        <sz val="10"/>
        <color theme="1"/>
        <rFont val="Microsoft YaHei Light"/>
        <family val="2"/>
        <charset val="134"/>
      </rPr>
      <t>　　无形资产</t>
    </r>
  </si>
  <si>
    <r>
      <rPr>
        <sz val="10"/>
        <color theme="1"/>
        <rFont val="Microsoft YaHei Light"/>
        <family val="2"/>
        <charset val="134"/>
      </rPr>
      <t>　　开发支出</t>
    </r>
  </si>
  <si>
    <r>
      <rPr>
        <sz val="10"/>
        <color theme="1"/>
        <rFont val="Microsoft YaHei Light"/>
        <family val="2"/>
        <charset val="134"/>
      </rPr>
      <t>　　商誉</t>
    </r>
  </si>
  <si>
    <r>
      <rPr>
        <sz val="10"/>
        <color theme="1"/>
        <rFont val="Microsoft YaHei Light"/>
        <family val="2"/>
        <charset val="134"/>
      </rPr>
      <t>　　长期待摊费用</t>
    </r>
  </si>
  <si>
    <r>
      <rPr>
        <sz val="10"/>
        <color theme="1"/>
        <rFont val="Microsoft YaHei Light"/>
        <family val="2"/>
        <charset val="134"/>
      </rPr>
      <t>　　递延所得税资产</t>
    </r>
  </si>
  <si>
    <r>
      <rPr>
        <sz val="10"/>
        <color theme="1"/>
        <rFont val="Microsoft YaHei Light"/>
        <family val="2"/>
        <charset val="134"/>
      </rPr>
      <t>　　其他非流动资产</t>
    </r>
  </si>
  <si>
    <r>
      <rPr>
        <b/>
        <sz val="10"/>
        <color theme="1"/>
        <rFont val="Microsoft YaHei Light"/>
        <family val="2"/>
        <charset val="134"/>
      </rPr>
      <t>　　非流动资产合计</t>
    </r>
  </si>
  <si>
    <r>
      <rPr>
        <b/>
        <sz val="10"/>
        <color theme="1"/>
        <rFont val="Microsoft YaHei Light"/>
        <family val="2"/>
        <charset val="134"/>
      </rPr>
      <t>资产总计</t>
    </r>
  </si>
  <si>
    <r>
      <rPr>
        <b/>
        <sz val="10"/>
        <color theme="1"/>
        <rFont val="Microsoft YaHei Light"/>
        <family val="2"/>
        <charset val="134"/>
      </rPr>
      <t>流动负债：</t>
    </r>
  </si>
  <si>
    <r>
      <rPr>
        <sz val="10"/>
        <color theme="1"/>
        <rFont val="Microsoft YaHei Light"/>
        <family val="2"/>
        <charset val="134"/>
      </rPr>
      <t>　　融资缺口</t>
    </r>
  </si>
  <si>
    <r>
      <rPr>
        <sz val="10"/>
        <color theme="1"/>
        <rFont val="Microsoft YaHei Light"/>
        <family val="2"/>
        <charset val="134"/>
      </rPr>
      <t>　　短期借款</t>
    </r>
  </si>
  <si>
    <r>
      <rPr>
        <sz val="10"/>
        <color theme="1"/>
        <rFont val="Microsoft YaHei Light"/>
        <family val="2"/>
        <charset val="134"/>
      </rPr>
      <t>　　交易性金融负债</t>
    </r>
  </si>
  <si>
    <r>
      <rPr>
        <sz val="10"/>
        <color theme="1"/>
        <rFont val="Microsoft YaHei Light"/>
        <family val="2"/>
        <charset val="134"/>
      </rPr>
      <t>　　衍生金融负债</t>
    </r>
  </si>
  <si>
    <r>
      <rPr>
        <sz val="10"/>
        <color theme="1"/>
        <rFont val="Microsoft YaHei Light"/>
        <family val="2"/>
        <charset val="134"/>
      </rPr>
      <t>　　应付票据</t>
    </r>
  </si>
  <si>
    <r>
      <rPr>
        <sz val="10"/>
        <color theme="1"/>
        <rFont val="Microsoft YaHei Light"/>
        <family val="2"/>
        <charset val="134"/>
      </rPr>
      <t>　　应付账款</t>
    </r>
  </si>
  <si>
    <r>
      <rPr>
        <sz val="10"/>
        <color theme="1"/>
        <rFont val="Microsoft YaHei Light"/>
        <family val="2"/>
        <charset val="134"/>
      </rPr>
      <t>　　预收款项</t>
    </r>
  </si>
  <si>
    <r>
      <rPr>
        <sz val="10"/>
        <color theme="1"/>
        <rFont val="Arial"/>
        <family val="2"/>
      </rPr>
      <t xml:space="preserve">        </t>
    </r>
    <r>
      <rPr>
        <sz val="10"/>
        <color theme="1"/>
        <rFont val="Microsoft YaHei Light"/>
        <family val="2"/>
        <charset val="134"/>
      </rPr>
      <t>合同负债</t>
    </r>
  </si>
  <si>
    <r>
      <rPr>
        <sz val="10"/>
        <color theme="1"/>
        <rFont val="Microsoft YaHei Light"/>
        <family val="2"/>
        <charset val="134"/>
      </rPr>
      <t>　　应付职工薪酬</t>
    </r>
  </si>
  <si>
    <r>
      <rPr>
        <sz val="10"/>
        <color theme="1"/>
        <rFont val="Microsoft YaHei Light"/>
        <family val="2"/>
        <charset val="134"/>
      </rPr>
      <t>　　应交税费</t>
    </r>
  </si>
  <si>
    <r>
      <rPr>
        <sz val="10"/>
        <color theme="1"/>
        <rFont val="Microsoft YaHei Light"/>
        <family val="2"/>
        <charset val="134"/>
      </rPr>
      <t>按上年数据</t>
    </r>
  </si>
  <si>
    <r>
      <rPr>
        <sz val="10"/>
        <color theme="1"/>
        <rFont val="Microsoft YaHei Light"/>
        <family val="2"/>
        <charset val="134"/>
      </rPr>
      <t>　　其他应付款</t>
    </r>
  </si>
  <si>
    <r>
      <rPr>
        <sz val="10"/>
        <color theme="1"/>
        <rFont val="Microsoft YaHei Light"/>
        <family val="2"/>
        <charset val="134"/>
      </rPr>
      <t>　　持有待售负债</t>
    </r>
  </si>
  <si>
    <r>
      <rPr>
        <sz val="10"/>
        <color theme="1"/>
        <rFont val="Microsoft YaHei Light"/>
        <family val="2"/>
        <charset val="134"/>
      </rPr>
      <t>　　一年内到期的非流动负债</t>
    </r>
  </si>
  <si>
    <r>
      <rPr>
        <sz val="10"/>
        <color theme="1"/>
        <rFont val="Microsoft YaHei Light"/>
        <family val="2"/>
        <charset val="134"/>
      </rPr>
      <t>　　其他流动负债</t>
    </r>
  </si>
  <si>
    <r>
      <rPr>
        <b/>
        <sz val="10"/>
        <color theme="1"/>
        <rFont val="Microsoft YaHei Light"/>
        <family val="2"/>
        <charset val="134"/>
      </rPr>
      <t>　　流动负债合计</t>
    </r>
  </si>
  <si>
    <r>
      <rPr>
        <b/>
        <sz val="10"/>
        <color theme="1"/>
        <rFont val="Microsoft YaHei Light"/>
        <family val="2"/>
        <charset val="134"/>
      </rPr>
      <t>非流动负债：</t>
    </r>
  </si>
  <si>
    <r>
      <rPr>
        <sz val="10"/>
        <color theme="1"/>
        <rFont val="Microsoft YaHei Light"/>
        <family val="2"/>
        <charset val="134"/>
      </rPr>
      <t>　　长期借款</t>
    </r>
  </si>
  <si>
    <r>
      <rPr>
        <sz val="10"/>
        <color theme="1"/>
        <rFont val="Microsoft YaHei Light"/>
        <family val="2"/>
        <charset val="134"/>
      </rPr>
      <t>　　应付债券</t>
    </r>
  </si>
  <si>
    <r>
      <rPr>
        <sz val="10"/>
        <color theme="1"/>
        <rFont val="Microsoft YaHei Light"/>
        <family val="2"/>
        <charset val="134"/>
      </rPr>
      <t>　　租赁负债</t>
    </r>
  </si>
  <si>
    <r>
      <rPr>
        <sz val="10"/>
        <color theme="1"/>
        <rFont val="Microsoft YaHei Light"/>
        <family val="2"/>
        <charset val="134"/>
      </rPr>
      <t>　　长期应付款</t>
    </r>
  </si>
  <si>
    <r>
      <rPr>
        <sz val="10"/>
        <color theme="1"/>
        <rFont val="Microsoft YaHei Light"/>
        <family val="2"/>
        <charset val="134"/>
      </rPr>
      <t>　　预计负债</t>
    </r>
  </si>
  <si>
    <r>
      <rPr>
        <sz val="10"/>
        <color theme="1"/>
        <rFont val="Microsoft YaHei Light"/>
        <family val="2"/>
        <charset val="134"/>
      </rPr>
      <t>　　递延收益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非流动负债</t>
    </r>
  </si>
  <si>
    <r>
      <rPr>
        <sz val="10"/>
        <color theme="1"/>
        <rFont val="Microsoft YaHei Light"/>
        <family val="2"/>
        <charset val="134"/>
      </rPr>
      <t>下降趋势，暂按上年度</t>
    </r>
  </si>
  <si>
    <r>
      <rPr>
        <sz val="10"/>
        <color theme="1"/>
        <rFont val="Microsoft YaHei Light"/>
        <family val="2"/>
        <charset val="134"/>
      </rPr>
      <t>　　递延所得税负债</t>
    </r>
  </si>
  <si>
    <r>
      <rPr>
        <sz val="10"/>
        <color theme="1"/>
        <rFont val="Microsoft YaHei Light"/>
        <family val="2"/>
        <charset val="134"/>
      </rPr>
      <t>　　其他非流动负债</t>
    </r>
  </si>
  <si>
    <t>按上年数据</t>
  </si>
  <si>
    <r>
      <rPr>
        <b/>
        <sz val="10"/>
        <color theme="1"/>
        <rFont val="Microsoft YaHei Light"/>
        <family val="2"/>
        <charset val="134"/>
      </rPr>
      <t>　　非流动负债合计</t>
    </r>
  </si>
  <si>
    <r>
      <rPr>
        <b/>
        <sz val="10"/>
        <color theme="1"/>
        <rFont val="Microsoft YaHei Light"/>
        <family val="2"/>
        <charset val="134"/>
      </rPr>
      <t>负债合计</t>
    </r>
  </si>
  <si>
    <r>
      <rPr>
        <b/>
        <sz val="10"/>
        <color theme="1"/>
        <rFont val="Microsoft YaHei Light"/>
        <family val="2"/>
        <charset val="134"/>
      </rPr>
      <t>所有者权益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Microsoft YaHei Light"/>
        <family val="2"/>
        <charset val="134"/>
      </rPr>
      <t>或股东权益</t>
    </r>
    <r>
      <rPr>
        <b/>
        <sz val="10"/>
        <color theme="1"/>
        <rFont val="Arial"/>
        <family val="2"/>
      </rPr>
      <t>)</t>
    </r>
    <r>
      <rPr>
        <b/>
        <sz val="10"/>
        <color theme="1"/>
        <rFont val="Microsoft YaHei Light"/>
        <family val="2"/>
        <charset val="134"/>
      </rPr>
      <t>：</t>
    </r>
  </si>
  <si>
    <r>
      <rPr>
        <sz val="10"/>
        <color theme="1"/>
        <rFont val="Microsoft YaHei Light"/>
        <family val="2"/>
        <charset val="134"/>
      </rPr>
      <t>　　实收资本</t>
    </r>
    <r>
      <rPr>
        <sz val="10"/>
        <color theme="1"/>
        <rFont val="Arial"/>
        <family val="2"/>
      </rPr>
      <t>(</t>
    </r>
    <r>
      <rPr>
        <sz val="10"/>
        <color theme="1"/>
        <rFont val="Microsoft YaHei Light"/>
        <family val="2"/>
        <charset val="134"/>
      </rPr>
      <t>或股本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</si>
  <si>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Microsoft YaHei Light"/>
        <family val="2"/>
        <charset val="134"/>
      </rPr>
      <t>假设不新增融资</t>
    </r>
  </si>
  <si>
    <r>
      <rPr>
        <sz val="10"/>
        <color theme="1"/>
        <rFont val="Microsoft YaHei Light"/>
        <family val="2"/>
        <charset val="134"/>
      </rPr>
      <t>　　其他权益工具</t>
    </r>
  </si>
  <si>
    <r>
      <rPr>
        <sz val="10"/>
        <color theme="1"/>
        <rFont val="Microsoft YaHei Light"/>
        <family val="2"/>
        <charset val="134"/>
      </rPr>
      <t>　　资本公积金</t>
    </r>
  </si>
  <si>
    <r>
      <rPr>
        <sz val="10"/>
        <color theme="1"/>
        <rFont val="Microsoft YaHei Light"/>
        <family val="2"/>
        <charset val="134"/>
      </rPr>
      <t>　　库存股</t>
    </r>
  </si>
  <si>
    <r>
      <rPr>
        <sz val="10"/>
        <color theme="1"/>
        <rFont val="Microsoft YaHei Light"/>
        <family val="2"/>
        <charset val="134"/>
      </rPr>
      <t>　　其它综合收益</t>
    </r>
  </si>
  <si>
    <r>
      <rPr>
        <sz val="10"/>
        <color theme="1"/>
        <rFont val="Microsoft YaHei Light"/>
        <family val="2"/>
        <charset val="134"/>
      </rPr>
      <t>　　专项储备</t>
    </r>
  </si>
  <si>
    <r>
      <rPr>
        <sz val="10"/>
        <color theme="1"/>
        <rFont val="Microsoft YaHei Light"/>
        <family val="2"/>
        <charset val="134"/>
      </rPr>
      <t>　　盈余公积金</t>
    </r>
  </si>
  <si>
    <r>
      <rPr>
        <sz val="10"/>
        <color theme="1"/>
        <rFont val="Microsoft YaHei Light"/>
        <family val="2"/>
        <charset val="134"/>
      </rPr>
      <t>按</t>
    </r>
    <r>
      <rPr>
        <sz val="10"/>
        <color theme="1"/>
        <rFont val="Arial"/>
        <family val="2"/>
      </rPr>
      <t>10%</t>
    </r>
    <r>
      <rPr>
        <sz val="10"/>
        <color theme="1"/>
        <rFont val="Microsoft YaHei Light"/>
        <family val="2"/>
        <charset val="134"/>
      </rPr>
      <t>的法定盈余公积比例</t>
    </r>
    <r>
      <rPr>
        <sz val="10"/>
        <color theme="1"/>
        <rFont val="宋体"/>
        <family val="3"/>
        <charset val="134"/>
      </rPr>
      <t>，当法定盈余公积累计金额达到企业注册资本的</t>
    </r>
    <r>
      <rPr>
        <sz val="10"/>
        <color theme="1"/>
        <rFont val="Arial"/>
        <family val="2"/>
      </rPr>
      <t>50%</t>
    </r>
    <r>
      <rPr>
        <sz val="10"/>
        <color theme="1"/>
        <rFont val="宋体"/>
        <family val="3"/>
        <charset val="134"/>
      </rPr>
      <t>以上时，可以不再提取。</t>
    </r>
  </si>
  <si>
    <r>
      <rPr>
        <sz val="10"/>
        <color theme="1"/>
        <rFont val="Microsoft YaHei Light"/>
        <family val="2"/>
        <charset val="134"/>
      </rPr>
      <t>　　未分配利润</t>
    </r>
  </si>
  <si>
    <r>
      <rPr>
        <b/>
        <sz val="10"/>
        <color theme="1"/>
        <rFont val="Microsoft YaHei Light"/>
        <family val="2"/>
        <charset val="134"/>
      </rPr>
      <t>　　归属于母公司所有者权益合计</t>
    </r>
  </si>
  <si>
    <r>
      <rPr>
        <sz val="10"/>
        <color theme="1"/>
        <rFont val="Microsoft YaHei Light"/>
        <family val="2"/>
        <charset val="134"/>
      </rPr>
      <t>　　少数股东权益</t>
    </r>
  </si>
  <si>
    <r>
      <rPr>
        <b/>
        <sz val="10"/>
        <color theme="1"/>
        <rFont val="Microsoft YaHei Light"/>
        <family val="2"/>
        <charset val="134"/>
      </rPr>
      <t>所有者权益合计</t>
    </r>
  </si>
  <si>
    <r>
      <rPr>
        <b/>
        <sz val="10"/>
        <color theme="1"/>
        <rFont val="Microsoft YaHei Light"/>
        <family val="2"/>
        <charset val="134"/>
      </rPr>
      <t>负债和所有者权益总计</t>
    </r>
  </si>
  <si>
    <t>check</t>
  </si>
  <si>
    <r>
      <rPr>
        <b/>
        <sz val="10"/>
        <color theme="1"/>
        <rFont val="Microsoft YaHei Light"/>
        <family val="2"/>
        <charset val="134"/>
      </rPr>
      <t>经营性现金流</t>
    </r>
  </si>
  <si>
    <r>
      <rPr>
        <sz val="10"/>
        <color theme="1"/>
        <rFont val="Microsoft YaHei Light"/>
        <family val="2"/>
        <charset val="134"/>
      </rPr>
      <t>净利润</t>
    </r>
  </si>
  <si>
    <r>
      <rPr>
        <sz val="10"/>
        <color theme="1"/>
        <rFont val="Microsoft YaHei Light"/>
        <family val="2"/>
        <charset val="134"/>
      </rPr>
      <t>加：折旧摊销</t>
    </r>
  </si>
  <si>
    <r>
      <rPr>
        <sz val="10"/>
        <color theme="1"/>
        <rFont val="Microsoft YaHei Light"/>
        <family val="2"/>
        <charset val="134"/>
      </rPr>
      <t>减：非经常性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非经营性现金流</t>
    </r>
  </si>
  <si>
    <r>
      <rPr>
        <sz val="10"/>
        <color theme="1"/>
        <rFont val="Microsoft YaHei Light"/>
        <family val="2"/>
        <charset val="134"/>
      </rPr>
      <t>减：财务费用</t>
    </r>
  </si>
  <si>
    <r>
      <rPr>
        <sz val="10"/>
        <color theme="1"/>
        <rFont val="Microsoft YaHei Light"/>
        <family val="2"/>
        <charset val="134"/>
      </rPr>
      <t>净营运资金的变化</t>
    </r>
  </si>
  <si>
    <r>
      <rPr>
        <sz val="10"/>
        <color theme="1"/>
        <rFont val="Microsoft YaHei Light"/>
        <family val="2"/>
        <charset val="134"/>
      </rPr>
      <t>递延所得税资产的变化</t>
    </r>
  </si>
  <si>
    <r>
      <rPr>
        <sz val="10"/>
        <color theme="1"/>
        <rFont val="Microsoft YaHei Light"/>
        <family val="2"/>
        <charset val="134"/>
      </rPr>
      <t>其他非流动资产的变化</t>
    </r>
  </si>
  <si>
    <r>
      <rPr>
        <sz val="10"/>
        <color theme="1"/>
        <rFont val="Microsoft YaHei Light"/>
        <family val="2"/>
        <charset val="134"/>
      </rPr>
      <t>长期应付款的变化</t>
    </r>
  </si>
  <si>
    <r>
      <rPr>
        <sz val="10"/>
        <color theme="1"/>
        <rFont val="Microsoft YaHei Light"/>
        <family val="2"/>
        <charset val="134"/>
      </rPr>
      <t>预计负债的变化</t>
    </r>
  </si>
  <si>
    <r>
      <rPr>
        <sz val="10"/>
        <color theme="1"/>
        <rFont val="Microsoft YaHei Light"/>
        <family val="2"/>
        <charset val="134"/>
      </rPr>
      <t>递延收益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非流动负债的变化</t>
    </r>
  </si>
  <si>
    <r>
      <rPr>
        <sz val="10"/>
        <color theme="1"/>
        <rFont val="Microsoft YaHei Light"/>
        <family val="2"/>
        <charset val="134"/>
      </rPr>
      <t>递延所得税负债的变化</t>
    </r>
  </si>
  <si>
    <r>
      <rPr>
        <sz val="10"/>
        <color theme="1"/>
        <rFont val="Microsoft YaHei Light"/>
        <family val="2"/>
        <charset val="134"/>
      </rPr>
      <t>其他非流动负债的变化</t>
    </r>
  </si>
  <si>
    <r>
      <rPr>
        <b/>
        <sz val="10"/>
        <color theme="1"/>
        <rFont val="Microsoft YaHei Light"/>
        <family val="2"/>
        <charset val="134"/>
      </rPr>
      <t>投资活动现金流</t>
    </r>
  </si>
  <si>
    <r>
      <rPr>
        <sz val="10"/>
        <color theme="1"/>
        <rFont val="Microsoft YaHei Light"/>
        <family val="2"/>
        <charset val="134"/>
      </rPr>
      <t>交易性金融资产的变化</t>
    </r>
  </si>
  <si>
    <r>
      <rPr>
        <sz val="10"/>
        <color theme="1"/>
        <rFont val="Microsoft YaHei Light"/>
        <family val="2"/>
        <charset val="134"/>
      </rPr>
      <t>衍生金融资产的变化</t>
    </r>
  </si>
  <si>
    <r>
      <rPr>
        <sz val="10"/>
        <color theme="1"/>
        <rFont val="Microsoft YaHei Light"/>
        <family val="2"/>
        <charset val="134"/>
      </rPr>
      <t>以公允价值计量且其变动计入其他综合收益的金融资产的变化</t>
    </r>
  </si>
  <si>
    <r>
      <rPr>
        <sz val="10"/>
        <color theme="1"/>
        <rFont val="Microsoft YaHei Light"/>
        <family val="2"/>
        <charset val="134"/>
      </rPr>
      <t>以摊余成本计量的金融资产的变化</t>
    </r>
  </si>
  <si>
    <r>
      <rPr>
        <sz val="10"/>
        <color theme="1"/>
        <rFont val="Microsoft YaHei Light"/>
        <family val="2"/>
        <charset val="134"/>
      </rPr>
      <t>可供出售金融资产的变化</t>
    </r>
  </si>
  <si>
    <r>
      <rPr>
        <sz val="10"/>
        <color theme="1"/>
        <rFont val="Microsoft YaHei Light"/>
        <family val="2"/>
        <charset val="134"/>
      </rPr>
      <t>持有至到期投资的变化</t>
    </r>
  </si>
  <si>
    <r>
      <rPr>
        <sz val="10"/>
        <color theme="1"/>
        <rFont val="Microsoft YaHei Light"/>
        <family val="2"/>
        <charset val="134"/>
      </rPr>
      <t>债权投资的变化</t>
    </r>
  </si>
  <si>
    <r>
      <rPr>
        <sz val="10"/>
        <color theme="1"/>
        <rFont val="Microsoft YaHei Light"/>
        <family val="2"/>
        <charset val="134"/>
      </rPr>
      <t>其他债权投资的变化</t>
    </r>
  </si>
  <si>
    <r>
      <rPr>
        <sz val="10"/>
        <color theme="1"/>
        <rFont val="Microsoft YaHei Light"/>
        <family val="2"/>
        <charset val="134"/>
      </rPr>
      <t>长期应收款的变化</t>
    </r>
  </si>
  <si>
    <r>
      <rPr>
        <sz val="10"/>
        <color theme="1"/>
        <rFont val="Microsoft YaHei Light"/>
        <family val="2"/>
        <charset val="134"/>
      </rPr>
      <t>长期股权投资的变化</t>
    </r>
  </si>
  <si>
    <r>
      <rPr>
        <sz val="10"/>
        <color theme="1"/>
        <rFont val="Microsoft YaHei Light"/>
        <family val="2"/>
        <charset val="134"/>
      </rPr>
      <t>其他权益工具投资的变化</t>
    </r>
  </si>
  <si>
    <r>
      <rPr>
        <sz val="10"/>
        <color theme="1"/>
        <rFont val="Microsoft YaHei Light"/>
        <family val="2"/>
        <charset val="134"/>
      </rPr>
      <t>其他非流动金融资产的变化</t>
    </r>
  </si>
  <si>
    <r>
      <rPr>
        <sz val="10"/>
        <color theme="1"/>
        <rFont val="Microsoft YaHei Light"/>
        <family val="2"/>
        <charset val="134"/>
      </rPr>
      <t>投资性房地产的变化</t>
    </r>
  </si>
  <si>
    <r>
      <rPr>
        <sz val="10"/>
        <color theme="1"/>
        <rFont val="Microsoft YaHei Light"/>
        <family val="2"/>
        <charset val="134"/>
      </rPr>
      <t>固定资产的购置</t>
    </r>
  </si>
  <si>
    <r>
      <rPr>
        <sz val="10"/>
        <color theme="1"/>
        <rFont val="Microsoft YaHei Light"/>
        <family val="2"/>
        <charset val="134"/>
      </rPr>
      <t>固定资产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非同一控制下企业合并付出的对价</t>
    </r>
  </si>
  <si>
    <r>
      <rPr>
        <sz val="10"/>
        <color theme="1"/>
        <rFont val="Microsoft YaHei Light"/>
        <family val="2"/>
        <charset val="134"/>
      </rPr>
      <t>在建工程的购置</t>
    </r>
  </si>
  <si>
    <r>
      <rPr>
        <sz val="10"/>
        <color theme="1"/>
        <rFont val="Microsoft YaHei Light"/>
        <family val="2"/>
        <charset val="134"/>
      </rPr>
      <t>生产性生物资产的变化</t>
    </r>
  </si>
  <si>
    <r>
      <rPr>
        <sz val="10"/>
        <color theme="1"/>
        <rFont val="Microsoft YaHei Light"/>
        <family val="2"/>
        <charset val="134"/>
      </rPr>
      <t>油气资产的变化</t>
    </r>
  </si>
  <si>
    <r>
      <rPr>
        <sz val="10"/>
        <color theme="1"/>
        <rFont val="Microsoft YaHei Light"/>
        <family val="2"/>
        <charset val="134"/>
      </rPr>
      <t>使用权资产的购置</t>
    </r>
  </si>
  <si>
    <r>
      <rPr>
        <sz val="10"/>
        <color theme="1"/>
        <rFont val="Microsoft YaHei Light"/>
        <family val="2"/>
        <charset val="134"/>
      </rPr>
      <t>使用权资产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非同一控制下企业合并付出的对价</t>
    </r>
  </si>
  <si>
    <r>
      <rPr>
        <sz val="10"/>
        <color theme="1"/>
        <rFont val="Microsoft YaHei Light"/>
        <family val="2"/>
        <charset val="134"/>
      </rPr>
      <t>无形资产的购置</t>
    </r>
  </si>
  <si>
    <r>
      <rPr>
        <sz val="10"/>
        <color theme="1"/>
        <rFont val="Microsoft YaHei Light"/>
        <family val="2"/>
        <charset val="134"/>
      </rPr>
      <t>无形资产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非同一控制下企业合并付出的对价</t>
    </r>
  </si>
  <si>
    <r>
      <rPr>
        <sz val="10"/>
        <color theme="1"/>
        <rFont val="Microsoft YaHei Light"/>
        <family val="2"/>
        <charset val="134"/>
      </rPr>
      <t>开发支出的购置</t>
    </r>
  </si>
  <si>
    <r>
      <rPr>
        <sz val="10"/>
        <color theme="1"/>
        <rFont val="Microsoft YaHei Light"/>
        <family val="2"/>
        <charset val="134"/>
      </rPr>
      <t>商誉的变化</t>
    </r>
  </si>
  <si>
    <r>
      <rPr>
        <sz val="10"/>
        <color theme="1"/>
        <rFont val="Microsoft YaHei Light"/>
        <family val="2"/>
        <charset val="134"/>
      </rPr>
      <t>长期待摊费用的变化</t>
    </r>
  </si>
  <si>
    <r>
      <rPr>
        <sz val="10"/>
        <color theme="1"/>
        <rFont val="Microsoft YaHei Light"/>
        <family val="2"/>
        <charset val="134"/>
      </rPr>
      <t>交易性金融负债的变化</t>
    </r>
  </si>
  <si>
    <r>
      <rPr>
        <sz val="10"/>
        <color theme="1"/>
        <rFont val="Microsoft YaHei Light"/>
        <family val="2"/>
        <charset val="134"/>
      </rPr>
      <t>衍生金融负债的变化</t>
    </r>
  </si>
  <si>
    <r>
      <rPr>
        <sz val="10"/>
        <color theme="1"/>
        <rFont val="Microsoft YaHei Light"/>
        <family val="2"/>
        <charset val="134"/>
      </rPr>
      <t>加：非经常性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非经营性现金流</t>
    </r>
  </si>
  <si>
    <r>
      <rPr>
        <b/>
        <sz val="10"/>
        <color theme="1"/>
        <rFont val="Microsoft YaHei Light"/>
        <family val="2"/>
        <charset val="134"/>
      </rPr>
      <t>筹资活动现金流</t>
    </r>
  </si>
  <si>
    <r>
      <rPr>
        <sz val="10"/>
        <color theme="1"/>
        <rFont val="Microsoft YaHei Light"/>
        <family val="2"/>
        <charset val="134"/>
      </rPr>
      <t>偿还上年末的融资缺口</t>
    </r>
  </si>
  <si>
    <r>
      <rPr>
        <sz val="10"/>
        <color theme="1"/>
        <rFont val="Microsoft YaHei Light"/>
        <family val="2"/>
        <charset val="134"/>
      </rPr>
      <t>短期借款的变化</t>
    </r>
  </si>
  <si>
    <r>
      <rPr>
        <sz val="10"/>
        <color theme="1"/>
        <rFont val="Microsoft YaHei Light"/>
        <family val="2"/>
        <charset val="134"/>
      </rPr>
      <t>持有待售负债的变化</t>
    </r>
  </si>
  <si>
    <r>
      <rPr>
        <sz val="10"/>
        <color theme="1"/>
        <rFont val="Microsoft YaHei Light"/>
        <family val="2"/>
        <charset val="134"/>
      </rPr>
      <t>一年内到期的非流动负债的变化</t>
    </r>
  </si>
  <si>
    <r>
      <rPr>
        <sz val="10"/>
        <color theme="1"/>
        <rFont val="Microsoft YaHei Light"/>
        <family val="2"/>
        <charset val="134"/>
      </rPr>
      <t>长期借款的变化</t>
    </r>
  </si>
  <si>
    <r>
      <rPr>
        <sz val="10"/>
        <color theme="1"/>
        <rFont val="Microsoft YaHei Light"/>
        <family val="2"/>
        <charset val="134"/>
      </rPr>
      <t>应付债券的变化</t>
    </r>
  </si>
  <si>
    <r>
      <rPr>
        <sz val="10"/>
        <color theme="1"/>
        <rFont val="Microsoft YaHei Light"/>
        <family val="2"/>
        <charset val="134"/>
      </rPr>
      <t>租赁负债的变化</t>
    </r>
  </si>
  <si>
    <r>
      <rPr>
        <sz val="10"/>
        <color theme="1"/>
        <rFont val="Microsoft YaHei Light"/>
        <family val="2"/>
        <charset val="134"/>
      </rPr>
      <t>实收资本</t>
    </r>
    <r>
      <rPr>
        <sz val="10"/>
        <color theme="1"/>
        <rFont val="Arial"/>
        <family val="2"/>
      </rPr>
      <t>(</t>
    </r>
    <r>
      <rPr>
        <sz val="10"/>
        <color theme="1"/>
        <rFont val="Microsoft YaHei Light"/>
        <family val="2"/>
        <charset val="134"/>
      </rPr>
      <t>或股本</t>
    </r>
    <r>
      <rPr>
        <sz val="10"/>
        <color theme="1"/>
        <rFont val="Arial"/>
        <family val="2"/>
      </rPr>
      <t>)</t>
    </r>
    <r>
      <rPr>
        <sz val="10"/>
        <color theme="1"/>
        <rFont val="Microsoft YaHei Light"/>
        <family val="2"/>
        <charset val="134"/>
      </rPr>
      <t>的变化</t>
    </r>
  </si>
  <si>
    <r>
      <rPr>
        <sz val="10"/>
        <color theme="1"/>
        <rFont val="Microsoft YaHei Light"/>
        <family val="2"/>
        <charset val="134"/>
      </rPr>
      <t>其他权益工具的变化</t>
    </r>
  </si>
  <si>
    <r>
      <rPr>
        <sz val="10"/>
        <color theme="1"/>
        <rFont val="Microsoft YaHei Light"/>
        <family val="2"/>
        <charset val="134"/>
      </rPr>
      <t>资本公积金的变化</t>
    </r>
  </si>
  <si>
    <r>
      <rPr>
        <sz val="10"/>
        <color theme="1"/>
        <rFont val="Microsoft YaHei Light"/>
        <family val="2"/>
        <charset val="134"/>
      </rPr>
      <t>库存股的变化</t>
    </r>
  </si>
  <si>
    <r>
      <rPr>
        <sz val="10"/>
        <color theme="1"/>
        <rFont val="Microsoft YaHei Light"/>
        <family val="2"/>
        <charset val="134"/>
      </rPr>
      <t>其它综合收益的变化</t>
    </r>
  </si>
  <si>
    <r>
      <rPr>
        <sz val="10"/>
        <color theme="1"/>
        <rFont val="Microsoft YaHei Light"/>
        <family val="2"/>
        <charset val="134"/>
      </rPr>
      <t>专项储备的变化</t>
    </r>
  </si>
  <si>
    <r>
      <rPr>
        <sz val="10"/>
        <color theme="1"/>
        <rFont val="Microsoft YaHei Light"/>
        <family val="2"/>
        <charset val="134"/>
      </rPr>
      <t>加：财务费用</t>
    </r>
  </si>
  <si>
    <r>
      <rPr>
        <sz val="10"/>
        <color theme="1"/>
        <rFont val="Microsoft YaHei Light"/>
        <family val="2"/>
        <charset val="134"/>
      </rPr>
      <t>加：向母公司股东的分红</t>
    </r>
  </si>
  <si>
    <r>
      <rPr>
        <sz val="10"/>
        <color theme="1"/>
        <rFont val="Microsoft YaHei Light"/>
        <family val="2"/>
        <charset val="134"/>
      </rPr>
      <t>期初现金余额</t>
    </r>
  </si>
  <si>
    <r>
      <rPr>
        <sz val="10"/>
        <color theme="1"/>
        <rFont val="Microsoft YaHei Light"/>
        <family val="2"/>
        <charset val="134"/>
      </rPr>
      <t>净现金流</t>
    </r>
  </si>
  <si>
    <r>
      <rPr>
        <sz val="10"/>
        <color theme="1"/>
        <rFont val="Microsoft YaHei Light"/>
        <family val="2"/>
        <charset val="134"/>
      </rPr>
      <t>融资缺口前的期末现金余额</t>
    </r>
  </si>
  <si>
    <r>
      <rPr>
        <sz val="10"/>
        <color theme="1"/>
        <rFont val="Microsoft YaHei Light"/>
        <family val="2"/>
        <charset val="134"/>
      </rPr>
      <t>所需现金</t>
    </r>
  </si>
  <si>
    <r>
      <rPr>
        <sz val="10"/>
        <color theme="1"/>
        <rFont val="Microsoft YaHei Light"/>
        <family val="2"/>
        <charset val="134"/>
      </rPr>
      <t>融资缺口</t>
    </r>
  </si>
  <si>
    <r>
      <rPr>
        <sz val="10"/>
        <color theme="1"/>
        <rFont val="Microsoft YaHei Light"/>
        <family val="2"/>
        <charset val="134"/>
      </rPr>
      <t>弥补融资缺口后的期末现金余额</t>
    </r>
  </si>
  <si>
    <r>
      <rPr>
        <b/>
        <sz val="10"/>
        <color theme="1"/>
        <rFont val="Microsoft YaHei Light"/>
        <family val="2"/>
        <charset val="134"/>
      </rPr>
      <t>非现金流动资产</t>
    </r>
  </si>
  <si>
    <r>
      <rPr>
        <sz val="10"/>
        <color theme="1"/>
        <rFont val="Arial"/>
        <family val="2"/>
      </rPr>
      <t xml:space="preserve">      </t>
    </r>
    <r>
      <rPr>
        <sz val="10"/>
        <color theme="1"/>
        <rFont val="Microsoft YaHei Light"/>
        <family val="2"/>
        <charset val="134"/>
      </rPr>
      <t>合同负债</t>
    </r>
  </si>
  <si>
    <r>
      <rPr>
        <b/>
        <sz val="10"/>
        <color theme="1"/>
        <rFont val="Microsoft YaHei Light"/>
        <family val="2"/>
        <charset val="134"/>
      </rPr>
      <t>非借款的流动负债</t>
    </r>
  </si>
  <si>
    <r>
      <rPr>
        <b/>
        <sz val="10"/>
        <color theme="1"/>
        <rFont val="Microsoft YaHei Light"/>
        <family val="2"/>
        <charset val="134"/>
      </rPr>
      <t>净营运资金</t>
    </r>
  </si>
  <si>
    <r>
      <rPr>
        <sz val="10"/>
        <color theme="1"/>
        <rFont val="Microsoft YaHei Light"/>
        <family val="2"/>
        <charset val="134"/>
      </rPr>
      <t>备注</t>
    </r>
  </si>
  <si>
    <r>
      <rPr>
        <sz val="10"/>
        <color theme="1"/>
        <rFont val="Microsoft YaHei Light"/>
        <family val="2"/>
        <charset val="134"/>
      </rPr>
      <t>固定资产账面价值</t>
    </r>
  </si>
  <si>
    <r>
      <rPr>
        <sz val="10"/>
        <color theme="1"/>
        <rFont val="Microsoft YaHei Light"/>
        <family val="2"/>
        <charset val="134"/>
      </rPr>
      <t>在建工程账面价值</t>
    </r>
  </si>
  <si>
    <r>
      <rPr>
        <sz val="10"/>
        <color theme="1"/>
        <rFont val="Microsoft YaHei Light"/>
        <family val="2"/>
        <charset val="134"/>
      </rPr>
      <t>使用权资产账面价值</t>
    </r>
  </si>
  <si>
    <r>
      <rPr>
        <sz val="10"/>
        <color theme="1"/>
        <rFont val="Microsoft YaHei Light"/>
        <family val="2"/>
        <charset val="134"/>
      </rPr>
      <t>无形资产账面价值</t>
    </r>
  </si>
  <si>
    <r>
      <rPr>
        <sz val="10"/>
        <color theme="1"/>
        <rFont val="Microsoft YaHei Light"/>
        <family val="2"/>
        <charset val="134"/>
      </rPr>
      <t>开发支出账面价值</t>
    </r>
  </si>
  <si>
    <r>
      <rPr>
        <sz val="10"/>
        <color theme="1"/>
        <rFont val="Microsoft YaHei Light"/>
        <family val="2"/>
        <charset val="134"/>
      </rPr>
      <t>长期待摊费用账面价值</t>
    </r>
  </si>
  <si>
    <r>
      <rPr>
        <sz val="10"/>
        <color theme="1"/>
        <rFont val="Microsoft YaHei Light"/>
        <family val="2"/>
        <charset val="134"/>
      </rPr>
      <t>折旧、摊销合计</t>
    </r>
  </si>
  <si>
    <r>
      <rPr>
        <b/>
        <sz val="10"/>
        <color theme="1"/>
        <rFont val="Microsoft YaHei Light"/>
        <family val="2"/>
        <charset val="134"/>
      </rPr>
      <t>固定资产</t>
    </r>
  </si>
  <si>
    <r>
      <rPr>
        <sz val="10"/>
        <color theme="1"/>
        <rFont val="Microsoft YaHei Light"/>
        <family val="2"/>
        <charset val="134"/>
      </rPr>
      <t>固定资产原值期初额</t>
    </r>
  </si>
  <si>
    <r>
      <rPr>
        <sz val="10"/>
        <color theme="1"/>
        <rFont val="Microsoft YaHei Light"/>
        <family val="2"/>
        <charset val="134"/>
      </rPr>
      <t>本期增加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购置</t>
    </r>
  </si>
  <si>
    <r>
      <rPr>
        <sz val="10"/>
        <color theme="1"/>
        <rFont val="Microsoft YaHei Light"/>
        <family val="2"/>
        <charset val="134"/>
      </rPr>
      <t>本期增加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在建工程转入</t>
    </r>
  </si>
  <si>
    <r>
      <rPr>
        <sz val="10"/>
        <color theme="1"/>
        <rFont val="Microsoft YaHei Light"/>
        <family val="2"/>
        <charset val="134"/>
      </rPr>
      <t>本期增加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非同一控制下企业合并</t>
    </r>
  </si>
  <si>
    <r>
      <rPr>
        <sz val="10"/>
        <color theme="1"/>
        <rFont val="Microsoft YaHei Light"/>
        <family val="2"/>
        <charset val="134"/>
      </rPr>
      <t>本期减少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处置或报废</t>
    </r>
  </si>
  <si>
    <r>
      <rPr>
        <sz val="10"/>
        <color theme="1"/>
        <rFont val="Microsoft YaHei Light"/>
        <family val="2"/>
        <charset val="134"/>
      </rPr>
      <t>本期增加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外币折算</t>
    </r>
  </si>
  <si>
    <r>
      <rPr>
        <b/>
        <sz val="10"/>
        <color theme="1"/>
        <rFont val="Microsoft YaHei Light"/>
        <family val="2"/>
        <charset val="134"/>
      </rPr>
      <t>固定资产原值期末余额</t>
    </r>
  </si>
  <si>
    <r>
      <rPr>
        <sz val="10"/>
        <color theme="1"/>
        <rFont val="Microsoft YaHei Light"/>
        <family val="2"/>
        <charset val="134"/>
      </rPr>
      <t>累计折旧期初额</t>
    </r>
  </si>
  <si>
    <r>
      <rPr>
        <sz val="10"/>
        <color theme="1"/>
        <rFont val="Microsoft YaHei Light"/>
        <family val="2"/>
        <charset val="134"/>
      </rPr>
      <t>本期新增计提</t>
    </r>
  </si>
  <si>
    <r>
      <rPr>
        <b/>
        <sz val="10"/>
        <color theme="1"/>
        <rFont val="Microsoft YaHei Light"/>
        <family val="2"/>
        <charset val="134"/>
      </rPr>
      <t>期末余额</t>
    </r>
  </si>
  <si>
    <r>
      <rPr>
        <b/>
        <sz val="10"/>
        <color theme="1"/>
        <rFont val="Microsoft YaHei Light"/>
        <family val="2"/>
        <charset val="134"/>
      </rPr>
      <t>固定资产账面价值期初额</t>
    </r>
  </si>
  <si>
    <r>
      <rPr>
        <b/>
        <sz val="10"/>
        <color theme="1"/>
        <rFont val="Microsoft YaHei Light"/>
        <family val="2"/>
        <charset val="134"/>
      </rPr>
      <t>固定资产账面价值期末额</t>
    </r>
  </si>
  <si>
    <r>
      <rPr>
        <sz val="10"/>
        <color theme="1"/>
        <rFont val="Microsoft YaHei Light"/>
        <family val="2"/>
        <charset val="134"/>
      </rPr>
      <t>固定资产原值</t>
    </r>
  </si>
  <si>
    <r>
      <rPr>
        <sz val="10"/>
        <color theme="1"/>
        <rFont val="Microsoft YaHei Light"/>
        <family val="2"/>
        <charset val="134"/>
      </rPr>
      <t>累计折旧</t>
    </r>
  </si>
  <si>
    <r>
      <rPr>
        <sz val="10"/>
        <color theme="1"/>
        <rFont val="Microsoft YaHei Light"/>
        <family val="2"/>
        <charset val="134"/>
      </rPr>
      <t>固定资产净值</t>
    </r>
  </si>
  <si>
    <r>
      <rPr>
        <sz val="10"/>
        <color theme="1"/>
        <rFont val="Microsoft YaHei Light"/>
        <family val="2"/>
        <charset val="134"/>
      </rPr>
      <t>现有固定资产净值</t>
    </r>
  </si>
  <si>
    <r>
      <rPr>
        <sz val="10"/>
        <color theme="1"/>
        <rFont val="Microsoft YaHei Light"/>
        <family val="2"/>
        <charset val="134"/>
      </rPr>
      <t>折旧年限</t>
    </r>
  </si>
  <si>
    <r>
      <rPr>
        <sz val="10"/>
        <color theme="1"/>
        <rFont val="Microsoft YaHei Light"/>
        <family val="2"/>
        <charset val="134"/>
      </rPr>
      <t>残值率</t>
    </r>
  </si>
  <si>
    <r>
      <rPr>
        <sz val="10"/>
        <color theme="1"/>
        <rFont val="Microsoft YaHei Light"/>
        <family val="2"/>
        <charset val="134"/>
      </rPr>
      <t>现有固定资产折旧</t>
    </r>
  </si>
  <si>
    <r>
      <rPr>
        <sz val="10"/>
        <color theme="1"/>
        <rFont val="Microsoft YaHei Light"/>
        <family val="2"/>
        <charset val="134"/>
      </rPr>
      <t>为粗略估算数</t>
    </r>
  </si>
  <si>
    <r>
      <rPr>
        <sz val="10"/>
        <color theme="1"/>
        <rFont val="Microsoft YaHei Light"/>
        <family val="2"/>
        <charset val="134"/>
      </rPr>
      <t>新增固定资产</t>
    </r>
  </si>
  <si>
    <r>
      <rPr>
        <sz val="10"/>
        <color theme="1"/>
        <rFont val="Microsoft YaHei Light"/>
        <family val="2"/>
        <charset val="134"/>
      </rPr>
      <t>购置</t>
    </r>
  </si>
  <si>
    <r>
      <rPr>
        <sz val="10"/>
        <color theme="1"/>
        <rFont val="Microsoft YaHei Light"/>
        <family val="2"/>
        <charset val="134"/>
      </rPr>
      <t>在建工程转入</t>
    </r>
  </si>
  <si>
    <r>
      <rPr>
        <sz val="10"/>
        <color theme="1"/>
        <rFont val="Microsoft YaHei Light"/>
        <family val="2"/>
        <charset val="134"/>
      </rPr>
      <t>非同一控制下企业合并</t>
    </r>
  </si>
  <si>
    <r>
      <rPr>
        <b/>
        <sz val="10"/>
        <color theme="1"/>
        <rFont val="Microsoft YaHei Light"/>
        <family val="2"/>
        <charset val="134"/>
      </rPr>
      <t>新增</t>
    </r>
  </si>
  <si>
    <r>
      <rPr>
        <sz val="10"/>
        <color theme="1"/>
        <rFont val="Microsoft YaHei Light"/>
        <family val="2"/>
        <charset val="134"/>
      </rPr>
      <t>折旧</t>
    </r>
  </si>
  <si>
    <r>
      <rPr>
        <sz val="10"/>
        <color theme="1"/>
        <rFont val="Microsoft YaHei Light"/>
        <family val="2"/>
        <charset val="134"/>
      </rPr>
      <t>新增固定资产折旧</t>
    </r>
  </si>
  <si>
    <r>
      <rPr>
        <b/>
        <sz val="10"/>
        <color theme="1"/>
        <rFont val="Microsoft YaHei Light"/>
        <family val="2"/>
        <charset val="134"/>
      </rPr>
      <t>固定资产折旧总额</t>
    </r>
  </si>
  <si>
    <r>
      <rPr>
        <b/>
        <sz val="10"/>
        <color theme="1"/>
        <rFont val="Microsoft YaHei Light"/>
        <family val="2"/>
        <charset val="134"/>
      </rPr>
      <t>在建工程</t>
    </r>
  </si>
  <si>
    <r>
      <rPr>
        <sz val="10"/>
        <color theme="1"/>
        <rFont val="Microsoft YaHei Light"/>
        <family val="2"/>
        <charset val="134"/>
      </rPr>
      <t>期初余额</t>
    </r>
  </si>
  <si>
    <r>
      <rPr>
        <sz val="10"/>
        <color theme="1"/>
        <rFont val="Microsoft YaHei Light"/>
        <family val="2"/>
        <charset val="134"/>
      </rPr>
      <t>本期增加金额</t>
    </r>
  </si>
  <si>
    <r>
      <rPr>
        <sz val="10"/>
        <color theme="1"/>
        <rFont val="Microsoft YaHei Light"/>
        <family val="2"/>
        <charset val="134"/>
      </rPr>
      <t>企业并购增加</t>
    </r>
  </si>
  <si>
    <r>
      <rPr>
        <sz val="10"/>
        <color theme="1"/>
        <rFont val="Microsoft YaHei Light"/>
        <family val="2"/>
        <charset val="134"/>
      </rPr>
      <t>本期转入固定资产金额</t>
    </r>
  </si>
  <si>
    <r>
      <rPr>
        <sz val="10"/>
        <color theme="1"/>
        <rFont val="Microsoft YaHei Light"/>
        <family val="2"/>
        <charset val="134"/>
      </rPr>
      <t>本期其他减少金额</t>
    </r>
  </si>
  <si>
    <r>
      <rPr>
        <sz val="10"/>
        <color theme="1"/>
        <rFont val="Microsoft YaHei Light"/>
        <family val="2"/>
        <charset val="134"/>
      </rPr>
      <t>在建工程期初值</t>
    </r>
  </si>
  <si>
    <r>
      <rPr>
        <sz val="10"/>
        <color theme="1"/>
        <rFont val="Microsoft YaHei Light"/>
        <family val="2"/>
        <charset val="134"/>
      </rPr>
      <t>在建工程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本期新增</t>
    </r>
  </si>
  <si>
    <r>
      <rPr>
        <sz val="10"/>
        <color theme="1"/>
        <rFont val="Microsoft YaHei Light"/>
        <family val="2"/>
        <charset val="134"/>
      </rPr>
      <t>在建工程转固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</si>
  <si>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在建工程转固比例</t>
    </r>
  </si>
  <si>
    <r>
      <rPr>
        <b/>
        <sz val="10"/>
        <color theme="1"/>
        <rFont val="Microsoft YaHei Light"/>
        <family val="2"/>
        <charset val="134"/>
      </rPr>
      <t>在建工程期末值</t>
    </r>
  </si>
  <si>
    <r>
      <rPr>
        <b/>
        <sz val="10"/>
        <color theme="1"/>
        <rFont val="Microsoft YaHei Light"/>
        <family val="2"/>
        <charset val="134"/>
      </rPr>
      <t>使用权资产</t>
    </r>
  </si>
  <si>
    <r>
      <rPr>
        <sz val="10"/>
        <color theme="1"/>
        <rFont val="Microsoft YaHei Light"/>
        <family val="2"/>
        <charset val="134"/>
      </rPr>
      <t>使用权资产账面原值期初额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</si>
  <si>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租赁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</si>
  <si>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企业合并增加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</si>
  <si>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其他增加</t>
    </r>
  </si>
  <si>
    <r>
      <rPr>
        <sz val="10"/>
        <color theme="1"/>
        <rFont val="Microsoft YaHei Light"/>
        <family val="2"/>
        <charset val="134"/>
      </rPr>
      <t>本期减少金额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处置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</si>
  <si>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外币折算</t>
    </r>
  </si>
  <si>
    <r>
      <rPr>
        <sz val="10"/>
        <color theme="1"/>
        <rFont val="Microsoft YaHei Light"/>
        <family val="2"/>
        <charset val="134"/>
      </rPr>
      <t>期末余额</t>
    </r>
  </si>
  <si>
    <r>
      <rPr>
        <sz val="10"/>
        <color theme="1"/>
        <rFont val="Microsoft YaHei Light"/>
        <family val="2"/>
        <charset val="134"/>
      </rPr>
      <t>累计折旧期初余额</t>
    </r>
  </si>
  <si>
    <r>
      <rPr>
        <sz val="10"/>
        <color theme="1"/>
        <rFont val="Microsoft YaHei Light"/>
        <family val="2"/>
        <charset val="134"/>
      </rPr>
      <t>本期新增金额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计提</t>
    </r>
  </si>
  <si>
    <r>
      <rPr>
        <sz val="10"/>
        <color theme="1"/>
        <rFont val="Microsoft YaHei Light"/>
        <family val="2"/>
        <charset val="134"/>
      </rPr>
      <t>本期新增金额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企业合并增加</t>
    </r>
  </si>
  <si>
    <r>
      <rPr>
        <sz val="10"/>
        <color theme="1"/>
        <rFont val="Microsoft YaHei Light"/>
        <family val="2"/>
        <charset val="134"/>
      </rPr>
      <t>本期新增金额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外币折算</t>
    </r>
  </si>
  <si>
    <r>
      <rPr>
        <sz val="10"/>
        <color theme="1"/>
        <rFont val="Microsoft YaHei Light"/>
        <family val="2"/>
        <charset val="134"/>
      </rPr>
      <t>现有使用权资产净值</t>
    </r>
  </si>
  <si>
    <r>
      <rPr>
        <sz val="10"/>
        <color theme="1"/>
        <rFont val="Microsoft YaHei Light"/>
        <family val="2"/>
        <charset val="134"/>
      </rPr>
      <t>现有使用权资产折旧</t>
    </r>
  </si>
  <si>
    <r>
      <rPr>
        <sz val="10"/>
        <color theme="1"/>
        <rFont val="Microsoft YaHei Light"/>
        <family val="2"/>
        <charset val="134"/>
      </rPr>
      <t>新增使用权资产</t>
    </r>
  </si>
  <si>
    <r>
      <rPr>
        <sz val="10"/>
        <color theme="1"/>
        <rFont val="Microsoft YaHei Light"/>
        <family val="2"/>
        <charset val="134"/>
      </rPr>
      <t>新增</t>
    </r>
  </si>
  <si>
    <r>
      <rPr>
        <sz val="10"/>
        <color theme="1"/>
        <rFont val="Microsoft YaHei Light"/>
        <family val="2"/>
        <charset val="134"/>
      </rPr>
      <t>参考</t>
    </r>
    <r>
      <rPr>
        <sz val="10"/>
        <color theme="1"/>
        <rFont val="Arial"/>
        <family val="2"/>
      </rPr>
      <t>C91</t>
    </r>
    <r>
      <rPr>
        <sz val="10"/>
        <color theme="1"/>
        <rFont val="Microsoft YaHei Light"/>
        <family val="2"/>
        <charset val="134"/>
      </rPr>
      <t>单元格适当增加</t>
    </r>
  </si>
  <si>
    <r>
      <rPr>
        <sz val="10"/>
        <color theme="1"/>
        <rFont val="Microsoft YaHei Light"/>
        <family val="2"/>
        <charset val="134"/>
      </rPr>
      <t>新增使用权资产折旧</t>
    </r>
  </si>
  <si>
    <r>
      <rPr>
        <b/>
        <sz val="10"/>
        <color theme="1"/>
        <rFont val="Microsoft YaHei Light"/>
        <family val="2"/>
        <charset val="134"/>
      </rPr>
      <t>使用权资产折旧总额</t>
    </r>
  </si>
  <si>
    <r>
      <rPr>
        <b/>
        <sz val="10"/>
        <color theme="1"/>
        <rFont val="Microsoft YaHei Light"/>
        <family val="2"/>
        <charset val="134"/>
      </rPr>
      <t>无形资产</t>
    </r>
  </si>
  <si>
    <r>
      <rPr>
        <sz val="10"/>
        <color theme="1"/>
        <rFont val="Microsoft YaHei Light"/>
        <family val="2"/>
        <charset val="134"/>
      </rPr>
      <t>无形资产账面原值期初额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</si>
  <si>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购置</t>
    </r>
  </si>
  <si>
    <r>
      <rPr>
        <sz val="10"/>
        <color theme="1"/>
        <rFont val="Microsoft YaHei Light"/>
        <family val="2"/>
        <charset val="134"/>
      </rPr>
      <t>开发支出转入</t>
    </r>
  </si>
  <si>
    <r>
      <rPr>
        <sz val="10"/>
        <color theme="1"/>
        <rFont val="Microsoft YaHei Light"/>
        <family val="2"/>
        <charset val="134"/>
      </rPr>
      <t>处置</t>
    </r>
  </si>
  <si>
    <r>
      <rPr>
        <sz val="10"/>
        <color theme="1"/>
        <rFont val="Microsoft YaHei Light"/>
        <family val="2"/>
        <charset val="134"/>
      </rPr>
      <t>累计摊销期初余额</t>
    </r>
  </si>
  <si>
    <r>
      <rPr>
        <sz val="10"/>
        <color theme="1"/>
        <rFont val="Microsoft YaHei Light"/>
        <family val="2"/>
        <charset val="134"/>
      </rPr>
      <t>现有无形资产净值</t>
    </r>
  </si>
  <si>
    <r>
      <rPr>
        <sz val="10"/>
        <color theme="1"/>
        <rFont val="Microsoft YaHei Light"/>
        <family val="2"/>
        <charset val="134"/>
      </rPr>
      <t>摊销年限</t>
    </r>
  </si>
  <si>
    <r>
      <rPr>
        <sz val="10"/>
        <color theme="1"/>
        <rFont val="Microsoft YaHei Light"/>
        <family val="2"/>
        <charset val="134"/>
      </rPr>
      <t>现有无形资产摊销</t>
    </r>
  </si>
  <si>
    <r>
      <rPr>
        <sz val="10"/>
        <color theme="1"/>
        <rFont val="Microsoft YaHei Light"/>
        <family val="2"/>
        <charset val="134"/>
      </rPr>
      <t>新增无形资产</t>
    </r>
  </si>
  <si>
    <r>
      <rPr>
        <sz val="10"/>
        <color theme="1"/>
        <rFont val="Microsoft YaHei Light"/>
        <family val="2"/>
        <charset val="134"/>
      </rPr>
      <t>开发转入</t>
    </r>
  </si>
  <si>
    <r>
      <rPr>
        <sz val="10"/>
        <color theme="1"/>
        <rFont val="Microsoft YaHei Light"/>
        <family val="2"/>
        <charset val="134"/>
      </rPr>
      <t>参考</t>
    </r>
    <r>
      <rPr>
        <sz val="10"/>
        <color theme="1"/>
        <rFont val="Arial"/>
        <family val="2"/>
      </rPr>
      <t>C128</t>
    </r>
    <r>
      <rPr>
        <sz val="10"/>
        <color theme="1"/>
        <rFont val="Microsoft YaHei Light"/>
        <family val="2"/>
        <charset val="134"/>
      </rPr>
      <t>单元格适当增加</t>
    </r>
  </si>
  <si>
    <r>
      <rPr>
        <sz val="10"/>
        <color theme="1"/>
        <rFont val="Microsoft YaHei Light"/>
        <family val="2"/>
        <charset val="134"/>
      </rPr>
      <t>摊销</t>
    </r>
  </si>
  <si>
    <r>
      <rPr>
        <sz val="10"/>
        <color theme="1"/>
        <rFont val="Microsoft YaHei Light"/>
        <family val="2"/>
        <charset val="134"/>
      </rPr>
      <t>新增无形资产摊销</t>
    </r>
  </si>
  <si>
    <r>
      <rPr>
        <b/>
        <sz val="10"/>
        <color theme="1"/>
        <rFont val="Microsoft YaHei Light"/>
        <family val="2"/>
        <charset val="134"/>
      </rPr>
      <t>无形资产摊销总额</t>
    </r>
  </si>
  <si>
    <r>
      <rPr>
        <b/>
        <sz val="10"/>
        <color theme="1"/>
        <rFont val="Microsoft YaHei Light"/>
        <family val="2"/>
        <charset val="134"/>
      </rPr>
      <t>开发支出</t>
    </r>
  </si>
  <si>
    <r>
      <rPr>
        <sz val="10"/>
        <color theme="1"/>
        <rFont val="Microsoft YaHei Light"/>
        <family val="2"/>
        <charset val="134"/>
      </rPr>
      <t>不适用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</si>
  <si>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内部开发支出</t>
    </r>
  </si>
  <si>
    <r>
      <rPr>
        <sz val="10"/>
        <color theme="1"/>
        <rFont val="Microsoft YaHei Light"/>
        <family val="2"/>
        <charset val="134"/>
      </rPr>
      <t>本期增加金额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企业合并形成</t>
    </r>
  </si>
  <si>
    <r>
      <rPr>
        <sz val="10"/>
        <color theme="1"/>
        <rFont val="Microsoft YaHei Light"/>
        <family val="2"/>
        <charset val="134"/>
      </rPr>
      <t>开发支出转无形资产</t>
    </r>
  </si>
  <si>
    <r>
      <rPr>
        <sz val="10"/>
        <color theme="1"/>
        <rFont val="Microsoft YaHei Light"/>
        <family val="2"/>
        <charset val="134"/>
      </rPr>
      <t>计入当期损益</t>
    </r>
  </si>
  <si>
    <r>
      <rPr>
        <sz val="10"/>
        <color theme="1"/>
        <rFont val="Microsoft YaHei Light"/>
        <family val="2"/>
        <charset val="134"/>
      </rPr>
      <t>开发支出期初值</t>
    </r>
  </si>
  <si>
    <r>
      <rPr>
        <sz val="10"/>
        <color theme="1"/>
        <rFont val="Microsoft YaHei Light"/>
        <family val="2"/>
        <charset val="134"/>
      </rPr>
      <t>开发支出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本期新增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</si>
  <si>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开发支出转无形资产比例</t>
    </r>
  </si>
  <si>
    <r>
      <rPr>
        <sz val="10"/>
        <color theme="1"/>
        <rFont val="Microsoft YaHei Light"/>
        <family val="2"/>
        <charset val="134"/>
      </rPr>
      <t>开发支出期末值</t>
    </r>
  </si>
  <si>
    <r>
      <rPr>
        <b/>
        <sz val="10"/>
        <color theme="1"/>
        <rFont val="Microsoft YaHei Light"/>
        <family val="2"/>
        <charset val="134"/>
      </rPr>
      <t>长期待摊费用</t>
    </r>
  </si>
  <si>
    <r>
      <rPr>
        <sz val="10"/>
        <color theme="1"/>
        <rFont val="Microsoft YaHei Light"/>
        <family val="2"/>
        <charset val="134"/>
      </rPr>
      <t>本期摊销金额</t>
    </r>
  </si>
  <si>
    <r>
      <rPr>
        <sz val="10"/>
        <color theme="1"/>
        <rFont val="Microsoft YaHei Light"/>
        <family val="2"/>
        <charset val="134"/>
      </rPr>
      <t>现有长期待摊费用原值</t>
    </r>
  </si>
  <si>
    <r>
      <rPr>
        <sz val="10"/>
        <color theme="1"/>
        <rFont val="Microsoft YaHei Light"/>
        <family val="2"/>
        <charset val="134"/>
      </rPr>
      <t>现有长期待摊费用摊销</t>
    </r>
  </si>
  <si>
    <r>
      <rPr>
        <sz val="10"/>
        <color theme="1"/>
        <rFont val="Microsoft YaHei Light"/>
        <family val="2"/>
        <charset val="134"/>
      </rPr>
      <t>新增长期待摊费用</t>
    </r>
  </si>
  <si>
    <r>
      <rPr>
        <sz val="10"/>
        <color theme="1"/>
        <rFont val="Microsoft YaHei Light"/>
        <family val="2"/>
        <charset val="134"/>
      </rPr>
      <t>与收入同比增加</t>
    </r>
  </si>
  <si>
    <r>
      <rPr>
        <sz val="10"/>
        <color theme="1"/>
        <rFont val="Microsoft YaHei Light"/>
        <family val="2"/>
        <charset val="134"/>
      </rPr>
      <t>根据</t>
    </r>
    <r>
      <rPr>
        <sz val="10"/>
        <color theme="1"/>
        <rFont val="Arial"/>
        <family val="2"/>
      </rPr>
      <t>C169</t>
    </r>
    <r>
      <rPr>
        <sz val="10"/>
        <color theme="1"/>
        <rFont val="Microsoft YaHei Light"/>
        <family val="2"/>
        <charset val="134"/>
      </rPr>
      <t>单元格适度增加</t>
    </r>
  </si>
  <si>
    <r>
      <rPr>
        <sz val="10"/>
        <color theme="1"/>
        <rFont val="Microsoft YaHei Light"/>
        <family val="2"/>
        <charset val="134"/>
      </rPr>
      <t>新增长期待摊费用摊销</t>
    </r>
  </si>
  <si>
    <r>
      <rPr>
        <b/>
        <sz val="10"/>
        <color theme="1"/>
        <rFont val="Microsoft YaHei Light"/>
        <family val="2"/>
        <charset val="134"/>
      </rPr>
      <t>长期待摊费用摊销总额</t>
    </r>
  </si>
  <si>
    <r>
      <rPr>
        <sz val="10"/>
        <color theme="1"/>
        <rFont val="Microsoft YaHei Light"/>
        <family val="2"/>
        <charset val="134"/>
      </rPr>
      <t>说明</t>
    </r>
  </si>
  <si>
    <r>
      <rPr>
        <b/>
        <sz val="10"/>
        <color theme="1"/>
        <rFont val="Microsoft YaHei Light"/>
        <family val="2"/>
        <charset val="134"/>
      </rPr>
      <t>总收入</t>
    </r>
  </si>
  <si>
    <r>
      <rPr>
        <sz val="10"/>
        <color theme="1"/>
        <rFont val="Arial"/>
        <family val="2"/>
      </rPr>
      <t xml:space="preserve">        </t>
    </r>
    <r>
      <rPr>
        <sz val="10"/>
        <color theme="1"/>
        <rFont val="Microsoft YaHei Light"/>
        <family val="2"/>
        <charset val="134"/>
      </rPr>
      <t>增长率（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</si>
  <si>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b/>
        <sz val="10"/>
        <color theme="1"/>
        <rFont val="Microsoft YaHei Light"/>
        <family val="2"/>
        <charset val="134"/>
      </rPr>
      <t>总成本</t>
    </r>
  </si>
  <si>
    <r>
      <rPr>
        <sz val="10"/>
        <color theme="1"/>
        <rFont val="Arial"/>
        <family val="2"/>
      </rPr>
      <t xml:space="preserve">        </t>
    </r>
    <r>
      <rPr>
        <sz val="10"/>
        <color theme="1"/>
        <rFont val="Microsoft YaHei Light"/>
        <family val="2"/>
        <charset val="134"/>
      </rPr>
      <t>毛利率（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</si>
  <si>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t>Smart Home Solutions</t>
  </si>
  <si>
    <r>
      <rPr>
        <sz val="10"/>
        <color theme="1"/>
        <rFont val="Arial"/>
        <family val="2"/>
      </rPr>
      <t xml:space="preserve">    </t>
    </r>
    <r>
      <rPr>
        <sz val="10"/>
        <color theme="1"/>
        <rFont val="Microsoft YaHei Light"/>
        <family val="2"/>
        <charset val="134"/>
      </rPr>
      <t>收入</t>
    </r>
  </si>
  <si>
    <r>
      <rPr>
        <sz val="10"/>
        <color theme="1"/>
        <rFont val="Microsoft YaHei Light"/>
        <family val="2"/>
        <charset val="134"/>
      </rPr>
      <t>假设公司产品</t>
    </r>
    <r>
      <rPr>
        <sz val="10"/>
        <color theme="1"/>
        <rFont val="宋体"/>
        <family val="3"/>
        <charset val="134"/>
      </rPr>
      <t>增速维持平均增长的基础上有所下降</t>
    </r>
  </si>
  <si>
    <r>
      <rPr>
        <sz val="10"/>
        <color theme="1"/>
        <rFont val="Arial"/>
        <family val="2"/>
      </rPr>
      <t xml:space="preserve">    </t>
    </r>
    <r>
      <rPr>
        <sz val="10"/>
        <color theme="1"/>
        <rFont val="Microsoft YaHei Light"/>
        <family val="2"/>
        <charset val="134"/>
      </rPr>
      <t>成本</t>
    </r>
  </si>
  <si>
    <r>
      <rPr>
        <sz val="10"/>
        <color theme="1"/>
        <rFont val="Microsoft YaHei Light"/>
        <family val="2"/>
        <charset val="134"/>
      </rPr>
      <t>毛利率呈现</t>
    </r>
    <r>
      <rPr>
        <sz val="10"/>
        <color theme="1"/>
        <rFont val="宋体"/>
        <family val="3"/>
        <charset val="134"/>
      </rPr>
      <t>小幅波动</t>
    </r>
    <r>
      <rPr>
        <sz val="10"/>
        <color theme="1"/>
        <rFont val="Microsoft YaHei Light"/>
        <family val="2"/>
        <charset val="134"/>
      </rPr>
      <t>，保守按照</t>
    </r>
    <r>
      <rPr>
        <sz val="10"/>
        <color theme="1"/>
        <rFont val="Arial"/>
        <family val="2"/>
      </rPr>
      <t>2022</t>
    </r>
    <r>
      <rPr>
        <sz val="10"/>
        <color theme="1"/>
        <rFont val="Microsoft YaHei Light"/>
        <family val="2"/>
        <charset val="134"/>
      </rPr>
      <t>年数预计</t>
    </r>
  </si>
  <si>
    <t>Commercial &amp; Industrial Solutions</t>
  </si>
  <si>
    <t>假设公司产品略微增长</t>
  </si>
  <si>
    <t>其他</t>
  </si>
  <si>
    <r>
      <rPr>
        <sz val="10"/>
        <color theme="1"/>
        <rFont val="Microsoft YaHei Light"/>
        <family val="2"/>
        <charset val="134"/>
      </rPr>
      <t>维持一定增长</t>
    </r>
  </si>
  <si>
    <r>
      <rPr>
        <sz val="10"/>
        <color theme="1"/>
        <rFont val="Microsoft YaHei Light"/>
        <family val="2"/>
        <charset val="134"/>
      </rPr>
      <t>毛利率</t>
    </r>
    <r>
      <rPr>
        <sz val="10"/>
        <color theme="1"/>
        <rFont val="宋体"/>
        <family val="3"/>
        <charset val="134"/>
      </rPr>
      <t>呈现小幅</t>
    </r>
    <r>
      <rPr>
        <sz val="10"/>
        <color theme="1"/>
        <rFont val="Microsoft YaHei Light"/>
        <family val="2"/>
        <charset val="134"/>
      </rPr>
      <t>波动，假设按照前几年平均数</t>
    </r>
  </si>
  <si>
    <t>**业务</t>
  </si>
  <si>
    <r>
      <rPr>
        <sz val="10"/>
        <color theme="1"/>
        <rFont val="Arial"/>
        <family val="2"/>
      </rPr>
      <t>**</t>
    </r>
    <r>
      <rPr>
        <sz val="10"/>
        <color theme="1"/>
        <rFont val="Microsoft YaHei Light"/>
        <family val="2"/>
        <charset val="134"/>
      </rPr>
      <t>业务</t>
    </r>
  </si>
  <si>
    <r>
      <rPr>
        <b/>
        <sz val="10"/>
        <color theme="1"/>
        <rFont val="Microsoft YaHei Light"/>
        <family val="2"/>
        <charset val="134"/>
      </rPr>
      <t>估值预测第一年</t>
    </r>
  </si>
  <si>
    <t>PL</t>
  </si>
  <si>
    <r>
      <rPr>
        <sz val="10"/>
        <color theme="1"/>
        <rFont val="Microsoft YaHei Light"/>
        <family val="2"/>
        <charset val="134"/>
      </rPr>
      <t>情形选择</t>
    </r>
  </si>
  <si>
    <r>
      <rPr>
        <sz val="10"/>
        <color theme="1"/>
        <rFont val="Microsoft YaHei Light"/>
        <family val="2"/>
        <charset val="134"/>
      </rPr>
      <t>营业收入（一致预测）</t>
    </r>
  </si>
  <si>
    <r>
      <rPr>
        <sz val="10"/>
        <color theme="1"/>
        <rFont val="Microsoft YaHei Light"/>
        <family val="2"/>
        <charset val="134"/>
      </rPr>
      <t>营业收入同比（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</si>
  <si>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rFont val="Arial"/>
        <family val="2"/>
      </rPr>
      <t xml:space="preserve">        </t>
    </r>
    <r>
      <rPr>
        <sz val="10"/>
        <rFont val="Microsoft YaHei Light"/>
        <family val="2"/>
        <charset val="134"/>
      </rPr>
      <t>保守情形</t>
    </r>
  </si>
  <si>
    <r>
      <rPr>
        <sz val="10"/>
        <color theme="1"/>
        <rFont val="Microsoft YaHei Light"/>
        <family val="2"/>
        <charset val="134"/>
      </rPr>
      <t>相对基础情形</t>
    </r>
    <r>
      <rPr>
        <sz val="10"/>
        <color theme="1"/>
        <rFont val="Arial"/>
        <family val="2"/>
      </rPr>
      <t>90%</t>
    </r>
  </si>
  <si>
    <r>
      <rPr>
        <sz val="10"/>
        <rFont val="Arial"/>
        <family val="2"/>
      </rPr>
      <t xml:space="preserve">        </t>
    </r>
    <r>
      <rPr>
        <sz val="10"/>
        <rFont val="Microsoft YaHei Light"/>
        <family val="2"/>
        <charset val="134"/>
      </rPr>
      <t>基本情形</t>
    </r>
  </si>
  <si>
    <r>
      <rPr>
        <sz val="10"/>
        <rFont val="Arial"/>
        <family val="2"/>
      </rPr>
      <t xml:space="preserve">        </t>
    </r>
    <r>
      <rPr>
        <sz val="10"/>
        <rFont val="Microsoft YaHei Light"/>
        <family val="2"/>
        <charset val="134"/>
      </rPr>
      <t>乐观情形</t>
    </r>
  </si>
  <si>
    <r>
      <rPr>
        <sz val="10"/>
        <color theme="1"/>
        <rFont val="Microsoft YaHei Light"/>
        <family val="2"/>
        <charset val="134"/>
      </rPr>
      <t>管理层预测的乐观情形</t>
    </r>
  </si>
  <si>
    <r>
      <rPr>
        <sz val="10"/>
        <color theme="1"/>
        <rFont val="Microsoft YaHei Light"/>
        <family val="2"/>
        <charset val="134"/>
      </rPr>
      <t>毛利率（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</si>
  <si>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Arial"/>
        <family val="2"/>
      </rPr>
      <t>link</t>
    </r>
    <r>
      <rPr>
        <sz val="10"/>
        <color theme="1"/>
        <rFont val="Microsoft YaHei Light"/>
        <family val="2"/>
        <charset val="134"/>
      </rPr>
      <t>收入拆分的数据</t>
    </r>
  </si>
  <si>
    <r>
      <rPr>
        <sz val="10"/>
        <color theme="1"/>
        <rFont val="Microsoft YaHei Light"/>
        <family val="2"/>
        <charset val="134"/>
      </rPr>
      <t>税金及附加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营业收入（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</si>
  <si>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按上一年数据测算</t>
    </r>
  </si>
  <si>
    <r>
      <rPr>
        <sz val="10"/>
        <color theme="1"/>
        <rFont val="Microsoft YaHei Light"/>
        <family val="2"/>
        <charset val="134"/>
      </rPr>
      <t>销售费用率（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</si>
  <si>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宋体"/>
        <family val="3"/>
        <charset val="134"/>
      </rPr>
      <t>波动不大</t>
    </r>
    <r>
      <rPr>
        <sz val="10"/>
        <color theme="1"/>
        <rFont val="Microsoft YaHei Light"/>
        <family val="2"/>
        <charset val="134"/>
      </rPr>
      <t>，保守估计按上一年数</t>
    </r>
  </si>
  <si>
    <r>
      <rPr>
        <sz val="10"/>
        <color theme="1"/>
        <rFont val="Microsoft YaHei Light"/>
        <family val="2"/>
        <charset val="134"/>
      </rPr>
      <t>管理费用率（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</si>
  <si>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t>管理费用率呈现逐年上升趋势，按上一年数据测算</t>
  </si>
  <si>
    <r>
      <rPr>
        <sz val="10"/>
        <color theme="1"/>
        <rFont val="Microsoft YaHei Light"/>
        <family val="2"/>
        <charset val="134"/>
      </rPr>
      <t>研发费用率（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</si>
  <si>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t>研发费用率呈现逐年上升趋势，按上一年数据测算</t>
  </si>
  <si>
    <r>
      <rPr>
        <sz val="10"/>
        <color theme="1"/>
        <rFont val="Microsoft YaHei Light"/>
        <family val="2"/>
        <charset val="134"/>
      </rPr>
      <t>财务费用率（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</si>
  <si>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所得税率（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</si>
  <si>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参考上年度实际所得税率</t>
    </r>
  </si>
  <si>
    <r>
      <rPr>
        <sz val="10"/>
        <color theme="1"/>
        <rFont val="Arial"/>
        <family val="2"/>
      </rPr>
      <t>EBIT/</t>
    </r>
    <r>
      <rPr>
        <sz val="10"/>
        <color theme="1"/>
        <rFont val="Microsoft YaHei Light"/>
        <family val="2"/>
        <charset val="134"/>
      </rPr>
      <t>收入（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</si>
  <si>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净利率（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</si>
  <si>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分红率（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</si>
  <si>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t>少数股东损益占收入比（%）</t>
  </si>
  <si>
    <t>按上一年数据测算</t>
  </si>
  <si>
    <t>BS</t>
  </si>
  <si>
    <r>
      <rPr>
        <sz val="10"/>
        <color theme="1"/>
        <rFont val="Microsoft YaHei Light"/>
        <family val="2"/>
        <charset val="134"/>
      </rPr>
      <t>所需现金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营业收入</t>
    </r>
  </si>
  <si>
    <t>采用三年平均数</t>
  </si>
  <si>
    <r>
      <rPr>
        <sz val="10"/>
        <color theme="1"/>
        <rFont val="Microsoft YaHei Light"/>
        <family val="2"/>
        <charset val="134"/>
      </rPr>
      <t>应收款项（应收票据</t>
    </r>
    <r>
      <rPr>
        <sz val="10"/>
        <color theme="1"/>
        <rFont val="Arial"/>
        <family val="2"/>
      </rPr>
      <t>+</t>
    </r>
    <r>
      <rPr>
        <sz val="10"/>
        <color theme="1"/>
        <rFont val="Microsoft YaHei Light"/>
        <family val="2"/>
        <charset val="134"/>
      </rPr>
      <t>应收账款）</t>
    </r>
  </si>
  <si>
    <r>
      <rPr>
        <sz val="10"/>
        <color theme="1"/>
        <rFont val="Microsoft YaHei Light"/>
        <family val="2"/>
        <charset val="134"/>
      </rPr>
      <t>应收款项周转天数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</si>
  <si>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应收票据占比</t>
    </r>
    <r>
      <rPr>
        <sz val="10"/>
        <color theme="1"/>
        <rFont val="Arial"/>
        <family val="2"/>
      </rPr>
      <t>%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</si>
  <si>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应收账款占比</t>
    </r>
    <r>
      <rPr>
        <sz val="10"/>
        <color theme="1"/>
        <rFont val="Arial"/>
        <family val="2"/>
      </rPr>
      <t>%</t>
    </r>
  </si>
  <si>
    <r>
      <rPr>
        <sz val="10"/>
        <color theme="1"/>
        <rFont val="Microsoft YaHei Light"/>
        <family val="2"/>
        <charset val="134"/>
      </rPr>
      <t>应收款项融资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应收款项比例</t>
    </r>
    <r>
      <rPr>
        <sz val="10"/>
        <color theme="1"/>
        <rFont val="Arial"/>
        <family val="2"/>
      </rPr>
      <t>%</t>
    </r>
  </si>
  <si>
    <r>
      <rPr>
        <sz val="10"/>
        <color theme="1"/>
        <rFont val="Microsoft YaHei Light"/>
        <family val="2"/>
        <charset val="134"/>
      </rPr>
      <t>预付款项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营业成本比例</t>
    </r>
    <r>
      <rPr>
        <sz val="10"/>
        <color theme="1"/>
        <rFont val="Arial"/>
        <family val="2"/>
      </rPr>
      <t>%</t>
    </r>
  </si>
  <si>
    <t>按上一年度数据</t>
  </si>
  <si>
    <r>
      <rPr>
        <sz val="10"/>
        <color theme="1"/>
        <rFont val="Microsoft YaHei Light"/>
        <family val="2"/>
        <charset val="134"/>
      </rPr>
      <t>存货周转天数</t>
    </r>
  </si>
  <si>
    <r>
      <rPr>
        <sz val="10"/>
        <color theme="1"/>
        <rFont val="Microsoft YaHei Light"/>
        <family val="2"/>
        <charset val="134"/>
      </rPr>
      <t>合同资产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营业收入比例</t>
    </r>
    <r>
      <rPr>
        <sz val="10"/>
        <color theme="1"/>
        <rFont val="Arial"/>
        <family val="2"/>
      </rPr>
      <t>%</t>
    </r>
  </si>
  <si>
    <r>
      <rPr>
        <sz val="10"/>
        <color theme="1"/>
        <rFont val="Microsoft YaHei Light"/>
        <family val="2"/>
        <charset val="134"/>
      </rPr>
      <t>应付款项（应付票据</t>
    </r>
    <r>
      <rPr>
        <sz val="10"/>
        <color theme="1"/>
        <rFont val="Arial"/>
        <family val="2"/>
      </rPr>
      <t>+</t>
    </r>
    <r>
      <rPr>
        <sz val="10"/>
        <color theme="1"/>
        <rFont val="Microsoft YaHei Light"/>
        <family val="2"/>
        <charset val="134"/>
      </rPr>
      <t>应付账款）</t>
    </r>
  </si>
  <si>
    <r>
      <rPr>
        <sz val="10"/>
        <color theme="1"/>
        <rFont val="Microsoft YaHei Light"/>
        <family val="2"/>
        <charset val="134"/>
      </rPr>
      <t>应付账款周转天数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</si>
  <si>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应付票据占比</t>
    </r>
    <r>
      <rPr>
        <sz val="10"/>
        <color theme="1"/>
        <rFont val="Arial"/>
        <family val="2"/>
      </rPr>
      <t>%</t>
    </r>
  </si>
  <si>
    <r>
      <rPr>
        <sz val="10"/>
        <color theme="1"/>
        <rFont val="Arial"/>
        <family val="2"/>
      </rPr>
      <t xml:space="preserve">  </t>
    </r>
    <r>
      <rPr>
        <sz val="10"/>
        <color theme="1"/>
        <rFont val="Microsoft YaHei Light"/>
        <family val="2"/>
        <charset val="134"/>
      </rPr>
      <t>应付账款占比</t>
    </r>
    <r>
      <rPr>
        <sz val="10"/>
        <color theme="1"/>
        <rFont val="Arial"/>
        <family val="2"/>
      </rPr>
      <t>%</t>
    </r>
  </si>
  <si>
    <r>
      <rPr>
        <sz val="10"/>
        <color theme="1"/>
        <rFont val="Microsoft YaHei Light"/>
        <family val="2"/>
        <charset val="134"/>
      </rPr>
      <t>预收款项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营业收入（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</si>
  <si>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合同负债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营业收入（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</si>
  <si>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应付职工薪酬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营业收入（</t>
    </r>
    <r>
      <rPr>
        <sz val="10"/>
        <color theme="1"/>
        <rFont val="Arial"/>
        <family val="2"/>
      </rPr>
      <t>%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</si>
  <si>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按上年数</t>
    </r>
  </si>
  <si>
    <r>
      <rPr>
        <b/>
        <sz val="10"/>
        <color theme="1"/>
        <rFont val="Microsoft YaHei Light"/>
        <family val="2"/>
        <charset val="134"/>
      </rPr>
      <t>负债计算</t>
    </r>
  </si>
  <si>
    <r>
      <rPr>
        <b/>
        <sz val="10"/>
        <color theme="1"/>
        <rFont val="Microsoft YaHei Light"/>
        <family val="2"/>
        <charset val="134"/>
      </rPr>
      <t>短期借款</t>
    </r>
  </si>
  <si>
    <r>
      <rPr>
        <sz val="10"/>
        <color theme="1"/>
        <rFont val="Microsoft YaHei Light"/>
        <family val="2"/>
        <charset val="134"/>
      </rPr>
      <t>利率</t>
    </r>
  </si>
  <si>
    <r>
      <rPr>
        <sz val="10"/>
        <color theme="1"/>
        <rFont val="Microsoft YaHei Light"/>
        <family val="2"/>
        <charset val="134"/>
      </rPr>
      <t>短期借款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期初额</t>
    </r>
  </si>
  <si>
    <r>
      <rPr>
        <sz val="10"/>
        <color theme="1"/>
        <rFont val="Microsoft YaHei Light"/>
        <family val="2"/>
        <charset val="134"/>
      </rPr>
      <t>短期借款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本期净增</t>
    </r>
  </si>
  <si>
    <r>
      <rPr>
        <sz val="10"/>
        <color theme="1"/>
        <rFont val="Microsoft YaHei Light"/>
        <family val="2"/>
        <charset val="134"/>
      </rPr>
      <t>参考历史数据</t>
    </r>
  </si>
  <si>
    <r>
      <rPr>
        <sz val="10"/>
        <color theme="1"/>
        <rFont val="Microsoft YaHei Light"/>
        <family val="2"/>
        <charset val="134"/>
      </rPr>
      <t>短期借款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期末余额</t>
    </r>
  </si>
  <si>
    <r>
      <rPr>
        <sz val="10"/>
        <color theme="1"/>
        <rFont val="Microsoft YaHei Light"/>
        <family val="2"/>
        <charset val="134"/>
      </rPr>
      <t>短期借款费用</t>
    </r>
  </si>
  <si>
    <r>
      <rPr>
        <b/>
        <sz val="10"/>
        <color theme="1"/>
        <rFont val="Microsoft YaHei Light"/>
        <family val="2"/>
        <charset val="134"/>
      </rPr>
      <t>长期借款</t>
    </r>
  </si>
  <si>
    <r>
      <rPr>
        <sz val="10"/>
        <color theme="1"/>
        <rFont val="Microsoft YaHei Light"/>
        <family val="2"/>
        <charset val="134"/>
      </rPr>
      <t>长期借款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期初额</t>
    </r>
  </si>
  <si>
    <r>
      <rPr>
        <sz val="10"/>
        <color theme="1"/>
        <rFont val="Microsoft YaHei Light"/>
        <family val="2"/>
        <charset val="134"/>
      </rPr>
      <t>长期借款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本期新增</t>
    </r>
  </si>
  <si>
    <r>
      <rPr>
        <sz val="10"/>
        <color theme="1"/>
        <rFont val="Microsoft YaHei Light"/>
        <family val="2"/>
        <charset val="134"/>
      </rPr>
      <t>长期借款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本期偿还</t>
    </r>
  </si>
  <si>
    <r>
      <rPr>
        <sz val="10"/>
        <color theme="1"/>
        <rFont val="Microsoft YaHei Light"/>
        <family val="2"/>
        <charset val="134"/>
      </rPr>
      <t>长期借款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期末余额</t>
    </r>
  </si>
  <si>
    <r>
      <rPr>
        <sz val="10"/>
        <color theme="1"/>
        <rFont val="Microsoft YaHei Light"/>
        <family val="2"/>
        <charset val="134"/>
      </rPr>
      <t>长期借款费用</t>
    </r>
  </si>
  <si>
    <t>Capex</t>
  </si>
  <si>
    <r>
      <rPr>
        <sz val="10"/>
        <color theme="1"/>
        <rFont val="Microsoft YaHei Light"/>
        <family val="2"/>
        <charset val="134"/>
      </rPr>
      <t>长期借款</t>
    </r>
    <r>
      <rPr>
        <sz val="10"/>
        <color theme="1"/>
        <rFont val="Arial"/>
        <family val="2"/>
      </rPr>
      <t>/capex</t>
    </r>
    <r>
      <rPr>
        <sz val="10"/>
        <color theme="1"/>
        <rFont val="Microsoft YaHei Light"/>
        <family val="2"/>
        <charset val="134"/>
      </rPr>
      <t>比例</t>
    </r>
  </si>
  <si>
    <r>
      <rPr>
        <sz val="10"/>
        <color theme="1"/>
        <rFont val="Microsoft YaHei Light"/>
        <family val="2"/>
        <charset val="134"/>
      </rPr>
      <t>假定不需要通过长期借款支撑</t>
    </r>
    <r>
      <rPr>
        <sz val="10"/>
        <color theme="1"/>
        <rFont val="Arial"/>
        <family val="2"/>
      </rPr>
      <t>capex</t>
    </r>
  </si>
  <si>
    <r>
      <rPr>
        <b/>
        <sz val="10"/>
        <color theme="1"/>
        <rFont val="Microsoft YaHei Light"/>
        <family val="2"/>
        <charset val="134"/>
      </rPr>
      <t>租赁负债</t>
    </r>
  </si>
  <si>
    <r>
      <rPr>
        <sz val="10"/>
        <color theme="1"/>
        <rFont val="Microsoft YaHei Light"/>
        <family val="2"/>
        <charset val="134"/>
      </rPr>
      <t>租赁负债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期初额</t>
    </r>
  </si>
  <si>
    <r>
      <rPr>
        <sz val="10"/>
        <color theme="1"/>
        <rFont val="Microsoft YaHei Light"/>
        <family val="2"/>
        <charset val="134"/>
      </rPr>
      <t>租赁负债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本期净增</t>
    </r>
  </si>
  <si>
    <r>
      <rPr>
        <sz val="10"/>
        <color theme="1"/>
        <rFont val="Microsoft YaHei Light"/>
        <family val="2"/>
        <charset val="134"/>
      </rPr>
      <t>租赁负债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期末余额</t>
    </r>
  </si>
  <si>
    <r>
      <rPr>
        <sz val="10"/>
        <color theme="1"/>
        <rFont val="Microsoft YaHei Light"/>
        <family val="2"/>
        <charset val="134"/>
      </rPr>
      <t>租赁负债费用</t>
    </r>
  </si>
  <si>
    <r>
      <rPr>
        <b/>
        <sz val="10"/>
        <color theme="1"/>
        <rFont val="Microsoft YaHei Light"/>
        <family val="2"/>
        <charset val="134"/>
      </rPr>
      <t>融资缺口</t>
    </r>
  </si>
  <si>
    <r>
      <rPr>
        <sz val="10"/>
        <color theme="1"/>
        <rFont val="Microsoft YaHei Light"/>
        <family val="2"/>
        <charset val="134"/>
      </rPr>
      <t>同短期借款</t>
    </r>
  </si>
  <si>
    <r>
      <rPr>
        <sz val="10"/>
        <color theme="1"/>
        <rFont val="Microsoft YaHei Light"/>
        <family val="2"/>
        <charset val="134"/>
      </rPr>
      <t>期初额</t>
    </r>
  </si>
  <si>
    <r>
      <rPr>
        <sz val="10"/>
        <color theme="1"/>
        <rFont val="Microsoft YaHei Light"/>
        <family val="2"/>
        <charset val="134"/>
      </rPr>
      <t>期末额</t>
    </r>
  </si>
  <si>
    <r>
      <rPr>
        <sz val="10"/>
        <color theme="1"/>
        <rFont val="Microsoft YaHei Light"/>
        <family val="2"/>
        <charset val="134"/>
      </rPr>
      <t>融资缺口费用</t>
    </r>
  </si>
  <si>
    <r>
      <rPr>
        <b/>
        <sz val="10"/>
        <color theme="1"/>
        <rFont val="Microsoft YaHei Light"/>
        <family val="2"/>
        <charset val="134"/>
      </rPr>
      <t>货币资金</t>
    </r>
  </si>
  <si>
    <r>
      <rPr>
        <sz val="10"/>
        <color theme="1"/>
        <rFont val="Microsoft YaHei Light"/>
        <family val="2"/>
        <charset val="134"/>
      </rPr>
      <t>参考银行一年期存款利率（</t>
    </r>
    <r>
      <rPr>
        <sz val="10"/>
        <color theme="1"/>
        <rFont val="Arial"/>
        <family val="2"/>
      </rPr>
      <t>https://www.icbc.com.cn/column/1438058341686722587.html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</si>
  <si>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货币资金利息收入</t>
    </r>
  </si>
  <si>
    <r>
      <rPr>
        <sz val="10"/>
        <color theme="1"/>
        <rFont val="Microsoft YaHei Light"/>
        <family val="2"/>
        <charset val="134"/>
      </rPr>
      <t>公司由于</t>
    </r>
    <r>
      <rPr>
        <sz val="10"/>
        <color theme="1"/>
        <rFont val="宋体"/>
        <family val="3"/>
        <charset val="134"/>
      </rPr>
      <t>账面资金余额</t>
    </r>
    <r>
      <rPr>
        <sz val="10"/>
        <color theme="1"/>
        <rFont val="Microsoft YaHei Light"/>
        <family val="2"/>
        <charset val="134"/>
      </rPr>
      <t>产生了大量利息收入</t>
    </r>
  </si>
  <si>
    <r>
      <rPr>
        <b/>
        <sz val="10"/>
        <color theme="1"/>
        <rFont val="Microsoft YaHei Light"/>
        <family val="2"/>
        <charset val="134"/>
      </rPr>
      <t>财务费用</t>
    </r>
  </si>
  <si>
    <r>
      <rPr>
        <b/>
        <sz val="10"/>
        <color theme="1"/>
        <rFont val="Arial"/>
        <family val="2"/>
      </rPr>
      <t>FCFF</t>
    </r>
    <r>
      <rPr>
        <b/>
        <sz val="10"/>
        <color theme="1"/>
        <rFont val="Microsoft YaHei Light"/>
        <family val="2"/>
        <charset val="134"/>
      </rPr>
      <t>估值</t>
    </r>
  </si>
  <si>
    <r>
      <rPr>
        <b/>
        <sz val="10"/>
        <color theme="1"/>
        <rFont val="Microsoft YaHei Light"/>
        <family val="2"/>
        <charset val="134"/>
      </rPr>
      <t>第一阶段</t>
    </r>
  </si>
  <si>
    <r>
      <rPr>
        <sz val="10"/>
        <color theme="1"/>
        <rFont val="Microsoft YaHei Light"/>
        <family val="2"/>
        <charset val="134"/>
      </rPr>
      <t>第二阶段</t>
    </r>
  </si>
  <si>
    <r>
      <rPr>
        <sz val="10"/>
        <color theme="1"/>
        <rFont val="Microsoft YaHei Light"/>
        <family val="2"/>
        <charset val="134"/>
      </rPr>
      <t>调整的税</t>
    </r>
  </si>
  <si>
    <t>EBIAT</t>
  </si>
  <si>
    <t>FCFF</t>
  </si>
  <si>
    <r>
      <rPr>
        <b/>
        <sz val="10"/>
        <color theme="1"/>
        <rFont val="Arial"/>
        <family val="2"/>
      </rPr>
      <t xml:space="preserve">  </t>
    </r>
    <r>
      <rPr>
        <b/>
        <sz val="10"/>
        <color theme="1"/>
        <rFont val="Microsoft YaHei Light"/>
        <family val="2"/>
        <charset val="134"/>
      </rPr>
      <t>增长率（</t>
    </r>
    <r>
      <rPr>
        <b/>
        <sz val="10"/>
        <color theme="1"/>
        <rFont val="Arial"/>
        <family val="2"/>
      </rPr>
      <t>%</t>
    </r>
    <r>
      <rPr>
        <b/>
        <sz val="10"/>
        <color theme="1"/>
        <rFont val="Microsoft YaHei Light"/>
        <family val="2"/>
        <charset val="134"/>
      </rPr>
      <t>）</t>
    </r>
  </si>
  <si>
    <t>WACC</t>
  </si>
  <si>
    <r>
      <rPr>
        <sz val="10"/>
        <color theme="1"/>
        <rFont val="Microsoft YaHei Light"/>
        <family val="2"/>
        <charset val="134"/>
      </rPr>
      <t>估值日期</t>
    </r>
  </si>
  <si>
    <r>
      <rPr>
        <b/>
        <sz val="10"/>
        <color theme="1"/>
        <rFont val="Microsoft YaHei Light"/>
        <family val="2"/>
        <charset val="134"/>
      </rPr>
      <t>自由现金流折现</t>
    </r>
  </si>
  <si>
    <r>
      <rPr>
        <sz val="10"/>
        <color theme="1"/>
        <rFont val="Microsoft YaHei Light"/>
        <family val="2"/>
        <charset val="134"/>
      </rPr>
      <t>折现年份</t>
    </r>
  </si>
  <si>
    <r>
      <rPr>
        <sz val="10"/>
        <color theme="1"/>
        <rFont val="Microsoft YaHei Light"/>
        <family val="2"/>
        <charset val="134"/>
      </rPr>
      <t>折现系数</t>
    </r>
  </si>
  <si>
    <r>
      <rPr>
        <b/>
        <sz val="10"/>
        <color theme="1"/>
        <rFont val="Microsoft YaHei Light"/>
        <family val="2"/>
        <charset val="134"/>
      </rPr>
      <t>现金流现值</t>
    </r>
  </si>
  <si>
    <r>
      <rPr>
        <sz val="10"/>
        <color theme="1"/>
        <rFont val="Microsoft YaHei Light"/>
        <family val="2"/>
        <charset val="134"/>
      </rPr>
      <t>永续增长率</t>
    </r>
  </si>
  <si>
    <r>
      <rPr>
        <sz val="10"/>
        <color theme="1"/>
        <rFont val="Microsoft YaHei Light"/>
        <family val="2"/>
        <charset val="134"/>
      </rPr>
      <t>预测期末企业价值</t>
    </r>
  </si>
  <si>
    <r>
      <rPr>
        <b/>
        <sz val="10"/>
        <color theme="1"/>
        <rFont val="Microsoft YaHei Light"/>
        <family val="2"/>
        <charset val="134"/>
      </rPr>
      <t>终值的现值</t>
    </r>
  </si>
  <si>
    <r>
      <rPr>
        <b/>
        <sz val="10"/>
        <color theme="1"/>
        <rFont val="Microsoft YaHei Light"/>
        <family val="2"/>
        <charset val="134"/>
      </rPr>
      <t>企业价值的现值</t>
    </r>
  </si>
  <si>
    <r>
      <rPr>
        <sz val="10"/>
        <color theme="1"/>
        <rFont val="Microsoft YaHei Light"/>
        <family val="2"/>
        <charset val="134"/>
      </rPr>
      <t>非核心资产账面价值</t>
    </r>
  </si>
  <si>
    <r>
      <rPr>
        <sz val="10"/>
        <color theme="1"/>
        <rFont val="Microsoft YaHei Light"/>
        <family val="2"/>
        <charset val="134"/>
      </rPr>
      <t>投资性资产减投资性负债，用上年底数</t>
    </r>
  </si>
  <si>
    <r>
      <rPr>
        <sz val="10"/>
        <color theme="1"/>
        <rFont val="Microsoft YaHei Light"/>
        <family val="2"/>
        <charset val="134"/>
      </rPr>
      <t>非核心资产市场价值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账面价值</t>
    </r>
  </si>
  <si>
    <r>
      <rPr>
        <sz val="10"/>
        <color theme="1"/>
        <rFont val="Microsoft YaHei Light"/>
        <family val="2"/>
        <charset val="134"/>
      </rPr>
      <t>按公允价值计算</t>
    </r>
  </si>
  <si>
    <r>
      <rPr>
        <b/>
        <sz val="10"/>
        <color theme="1"/>
        <rFont val="Microsoft YaHei Light"/>
        <family val="2"/>
        <charset val="134"/>
      </rPr>
      <t>非核心资产市值价值</t>
    </r>
  </si>
  <si>
    <r>
      <rPr>
        <b/>
        <sz val="10"/>
        <color theme="1"/>
        <rFont val="Microsoft YaHei Light"/>
        <family val="2"/>
        <charset val="134"/>
      </rPr>
      <t>现金</t>
    </r>
  </si>
  <si>
    <r>
      <rPr>
        <b/>
        <sz val="10"/>
        <color theme="1"/>
        <rFont val="Microsoft YaHei Light"/>
        <family val="2"/>
        <charset val="134"/>
      </rPr>
      <t>有息债务账面值</t>
    </r>
  </si>
  <si>
    <r>
      <rPr>
        <sz val="10"/>
        <color theme="1"/>
        <rFont val="Microsoft YaHei Light"/>
        <family val="2"/>
        <charset val="134"/>
      </rPr>
      <t>少数股东权益账面价值</t>
    </r>
  </si>
  <si>
    <r>
      <rPr>
        <sz val="10"/>
        <color theme="1"/>
        <rFont val="Microsoft YaHei Light"/>
        <family val="2"/>
        <charset val="134"/>
      </rPr>
      <t>少数股东权益市场价值</t>
    </r>
    <r>
      <rPr>
        <sz val="10"/>
        <color theme="1"/>
        <rFont val="Arial"/>
        <family val="2"/>
      </rPr>
      <t>/</t>
    </r>
    <r>
      <rPr>
        <sz val="10"/>
        <color theme="1"/>
        <rFont val="Microsoft YaHei Light"/>
        <family val="2"/>
        <charset val="134"/>
      </rPr>
      <t>账面价值</t>
    </r>
  </si>
  <si>
    <r>
      <rPr>
        <sz val="10"/>
        <color theme="1"/>
        <rFont val="Microsoft YaHei Light"/>
        <family val="2"/>
        <charset val="134"/>
      </rPr>
      <t>该公司目前的市净率</t>
    </r>
  </si>
  <si>
    <r>
      <rPr>
        <b/>
        <sz val="10"/>
        <color theme="1"/>
        <rFont val="Microsoft YaHei Light"/>
        <family val="2"/>
        <charset val="134"/>
      </rPr>
      <t>少数股东权益市场价值</t>
    </r>
  </si>
  <si>
    <r>
      <rPr>
        <b/>
        <sz val="10"/>
        <color theme="1"/>
        <rFont val="Microsoft YaHei Light"/>
        <family val="2"/>
        <charset val="134"/>
      </rPr>
      <t>股权价值（百万元）</t>
    </r>
  </si>
  <si>
    <r>
      <rPr>
        <b/>
        <sz val="10"/>
        <color theme="1"/>
        <rFont val="Microsoft YaHei Light"/>
        <family val="2"/>
        <charset val="134"/>
      </rPr>
      <t>股份数（百万股）</t>
    </r>
  </si>
  <si>
    <r>
      <rPr>
        <b/>
        <sz val="10"/>
        <color theme="1"/>
        <rFont val="Microsoft YaHei Light"/>
        <family val="2"/>
        <charset val="134"/>
      </rPr>
      <t>每股价值（元）</t>
    </r>
  </si>
  <si>
    <r>
      <rPr>
        <b/>
        <sz val="10"/>
        <color theme="1"/>
        <rFont val="Microsoft YaHei Light"/>
        <family val="2"/>
        <charset val="134"/>
      </rPr>
      <t>每股价值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Microsoft YaHei Light"/>
        <family val="2"/>
        <charset val="134"/>
      </rPr>
      <t>敏感性分析（元）</t>
    </r>
  </si>
  <si>
    <r>
      <rPr>
        <sz val="10"/>
        <color theme="1"/>
        <rFont val="Arial"/>
        <family val="2"/>
      </rPr>
      <t>WACC</t>
    </r>
    <r>
      <rPr>
        <sz val="10"/>
        <color theme="1"/>
        <rFont val="Microsoft YaHei Light"/>
        <family val="2"/>
        <charset val="134"/>
      </rPr>
      <t>计算</t>
    </r>
  </si>
  <si>
    <r>
      <rPr>
        <sz val="10"/>
        <color theme="1"/>
        <rFont val="Microsoft YaHei Light"/>
        <family val="2"/>
        <charset val="134"/>
      </rPr>
      <t>无风险利率</t>
    </r>
  </si>
  <si>
    <r>
      <rPr>
        <sz val="10"/>
        <color theme="1"/>
        <rFont val="Microsoft YaHei Light"/>
        <family val="2"/>
        <charset val="134"/>
      </rPr>
      <t>参考五年国债收益率（</t>
    </r>
    <r>
      <rPr>
        <sz val="10"/>
        <color theme="1"/>
        <rFont val="Arial"/>
        <family val="2"/>
      </rPr>
      <t>https://cn.investing.com/rates-bonds/china-5-year-bond-yield</t>
    </r>
    <r>
      <rPr>
        <sz val="10"/>
        <color theme="1"/>
        <rFont val="Microsoft YaHei Light"/>
        <family val="2"/>
        <charset val="134"/>
      </rPr>
      <t>）</t>
    </r>
  </si>
  <si>
    <r>
      <rPr>
        <sz val="10"/>
        <color theme="1"/>
        <rFont val="Microsoft YaHei Light"/>
        <family val="2"/>
        <charset val="134"/>
      </rPr>
      <t>市场组合预期收益率</t>
    </r>
  </si>
  <si>
    <r>
      <rPr>
        <sz val="10"/>
        <color theme="1"/>
        <rFont val="Arial"/>
        <family val="2"/>
      </rPr>
      <t>5</t>
    </r>
    <r>
      <rPr>
        <sz val="10"/>
        <color theme="1"/>
        <rFont val="宋体"/>
        <family val="3"/>
        <charset val="134"/>
      </rPr>
      <t>年沪深300年化收益率</t>
    </r>
  </si>
  <si>
    <r>
      <rPr>
        <sz val="10"/>
        <color theme="1"/>
        <rFont val="Arial"/>
        <family val="2"/>
      </rPr>
      <t>β</t>
    </r>
    <r>
      <rPr>
        <sz val="10"/>
        <color theme="1"/>
        <rFont val="Microsoft YaHei Light"/>
        <family val="2"/>
        <charset val="134"/>
      </rPr>
      <t>系数</t>
    </r>
  </si>
  <si>
    <r>
      <rPr>
        <sz val="10"/>
        <color theme="1"/>
        <rFont val="Arial"/>
        <family val="2"/>
      </rPr>
      <t>5</t>
    </r>
    <r>
      <rPr>
        <sz val="10"/>
        <color theme="1"/>
        <rFont val="宋体"/>
        <family val="3"/>
        <charset val="134"/>
      </rPr>
      <t>年，标的指数为沪深300，调整贝塔</t>
    </r>
  </si>
  <si>
    <r>
      <rPr>
        <sz val="10"/>
        <color theme="1"/>
        <rFont val="Microsoft YaHei Light"/>
        <family val="2"/>
        <charset val="134"/>
      </rPr>
      <t>股权资本成本</t>
    </r>
  </si>
  <si>
    <r>
      <rPr>
        <sz val="10"/>
        <color theme="1"/>
        <rFont val="Microsoft YaHei Light"/>
        <family val="2"/>
        <charset val="134"/>
      </rPr>
      <t>借款利率</t>
    </r>
  </si>
  <si>
    <t>12美的CP001，近10年美的只发行了超短融，利率低于2%</t>
  </si>
  <si>
    <r>
      <rPr>
        <sz val="10"/>
        <color theme="1"/>
        <rFont val="Microsoft YaHei Light"/>
        <family val="2"/>
        <charset val="134"/>
      </rPr>
      <t>公司所得税率</t>
    </r>
  </si>
  <si>
    <r>
      <rPr>
        <sz val="10"/>
        <color theme="1"/>
        <rFont val="Microsoft YaHei Light"/>
        <family val="2"/>
        <charset val="134"/>
      </rPr>
      <t>债务资本成本</t>
    </r>
  </si>
  <si>
    <r>
      <rPr>
        <sz val="10"/>
        <color theme="1"/>
        <rFont val="Microsoft YaHei Light"/>
        <family val="2"/>
        <charset val="134"/>
      </rPr>
      <t>股权资本</t>
    </r>
    <r>
      <rPr>
        <sz val="10"/>
        <color theme="1"/>
        <rFont val="Arial"/>
        <family val="2"/>
      </rPr>
      <t>E</t>
    </r>
  </si>
  <si>
    <r>
      <rPr>
        <sz val="10"/>
        <color theme="1"/>
        <rFont val="Microsoft YaHei Light"/>
        <family val="2"/>
        <charset val="134"/>
      </rPr>
      <t>债务资本</t>
    </r>
    <r>
      <rPr>
        <sz val="10"/>
        <color theme="1"/>
        <rFont val="Arial"/>
        <family val="2"/>
      </rPr>
      <t>D</t>
    </r>
  </si>
  <si>
    <r>
      <rPr>
        <b/>
        <sz val="9"/>
        <color theme="0"/>
        <rFont val="Microsoft YaHei Light"/>
        <family val="2"/>
        <charset val="134"/>
      </rPr>
      <t>证券代码</t>
    </r>
  </si>
  <si>
    <r>
      <rPr>
        <b/>
        <sz val="9"/>
        <color theme="0"/>
        <rFont val="Microsoft YaHei Light"/>
        <family val="2"/>
        <charset val="134"/>
      </rPr>
      <t>证券名称</t>
    </r>
  </si>
  <si>
    <r>
      <rPr>
        <b/>
        <sz val="9"/>
        <color theme="0"/>
        <rFont val="Microsoft YaHei Light"/>
        <family val="2"/>
        <charset val="134"/>
      </rPr>
      <t>总市值（百万元）</t>
    </r>
  </si>
  <si>
    <r>
      <rPr>
        <b/>
        <sz val="9"/>
        <color theme="0"/>
        <rFont val="Arial"/>
        <family val="2"/>
      </rPr>
      <t>2022</t>
    </r>
    <r>
      <rPr>
        <b/>
        <sz val="9"/>
        <color theme="0"/>
        <rFont val="Microsoft YaHei Light"/>
        <family val="2"/>
        <charset val="134"/>
      </rPr>
      <t>年3季度收入（百万元）</t>
    </r>
  </si>
  <si>
    <r>
      <rPr>
        <b/>
        <sz val="9"/>
        <color theme="0"/>
        <rFont val="Arial"/>
        <family val="2"/>
      </rPr>
      <t>2022</t>
    </r>
    <r>
      <rPr>
        <b/>
        <sz val="9"/>
        <color theme="0"/>
        <rFont val="宋体"/>
        <family val="3"/>
        <charset val="134"/>
      </rPr>
      <t>年3季度</t>
    </r>
    <r>
      <rPr>
        <b/>
        <sz val="9"/>
        <color theme="0"/>
        <rFont val="Microsoft YaHei Light"/>
        <family val="2"/>
        <charset val="134"/>
      </rPr>
      <t>净利润（百万元）</t>
    </r>
  </si>
  <si>
    <r>
      <rPr>
        <b/>
        <sz val="9"/>
        <color theme="0"/>
        <rFont val="Microsoft YaHei Light"/>
        <family val="2"/>
        <charset val="134"/>
      </rPr>
      <t>市销率（</t>
    </r>
    <r>
      <rPr>
        <b/>
        <sz val="9"/>
        <color theme="0"/>
        <rFont val="Arial"/>
        <family val="2"/>
      </rPr>
      <t>TTM</t>
    </r>
    <r>
      <rPr>
        <b/>
        <sz val="9"/>
        <color theme="0"/>
        <rFont val="Microsoft YaHei Light"/>
        <family val="2"/>
        <charset val="134"/>
      </rPr>
      <t>）</t>
    </r>
  </si>
  <si>
    <r>
      <rPr>
        <b/>
        <sz val="9"/>
        <color theme="0"/>
        <rFont val="Microsoft YaHei Light"/>
        <family val="2"/>
        <charset val="134"/>
      </rPr>
      <t>市盈率（</t>
    </r>
    <r>
      <rPr>
        <b/>
        <sz val="9"/>
        <color theme="0"/>
        <rFont val="Arial"/>
        <family val="2"/>
      </rPr>
      <t>TTM</t>
    </r>
    <r>
      <rPr>
        <b/>
        <sz val="9"/>
        <color theme="0"/>
        <rFont val="Microsoft YaHei Light"/>
        <family val="2"/>
        <charset val="134"/>
      </rPr>
      <t>）</t>
    </r>
  </si>
  <si>
    <r>
      <rPr>
        <b/>
        <sz val="9"/>
        <color theme="0"/>
        <rFont val="Microsoft YaHei Light"/>
        <family val="2"/>
        <charset val="134"/>
      </rPr>
      <t>市净率（最新）</t>
    </r>
  </si>
  <si>
    <r>
      <rPr>
        <b/>
        <sz val="9"/>
        <color indexed="9"/>
        <rFont val="Arial"/>
        <family val="2"/>
      </rPr>
      <t>PEG</t>
    </r>
    <r>
      <rPr>
        <b/>
        <sz val="9"/>
        <color indexed="9"/>
        <rFont val="Microsoft YaHei Light"/>
        <family val="2"/>
        <charset val="134"/>
      </rPr>
      <t>值（</t>
    </r>
    <r>
      <rPr>
        <b/>
        <sz val="9"/>
        <color indexed="9"/>
        <rFont val="Arial"/>
        <family val="2"/>
      </rPr>
      <t>LYR</t>
    </r>
    <r>
      <rPr>
        <b/>
        <sz val="9"/>
        <color indexed="9"/>
        <rFont val="Microsoft YaHei Light"/>
        <family val="2"/>
        <charset val="134"/>
      </rPr>
      <t>）</t>
    </r>
  </si>
  <si>
    <r>
      <rPr>
        <b/>
        <sz val="9"/>
        <color theme="0"/>
        <rFont val="Arial"/>
        <family val="2"/>
      </rPr>
      <t>EV/EBITDA</t>
    </r>
    <r>
      <rPr>
        <b/>
        <sz val="9"/>
        <color theme="0"/>
        <rFont val="Microsoft YaHei Light"/>
        <family val="2"/>
        <charset val="134"/>
      </rPr>
      <t>倍数</t>
    </r>
  </si>
  <si>
    <t>000651.SZ</t>
  </si>
  <si>
    <t>格力电器</t>
  </si>
  <si>
    <t>002050.SZ</t>
  </si>
  <si>
    <t>三花智控</t>
  </si>
  <si>
    <t>002668.SZ</t>
  </si>
  <si>
    <t>TCL智家</t>
  </si>
  <si>
    <t>000521.SZ</t>
  </si>
  <si>
    <t>长虹美菱</t>
  </si>
  <si>
    <t>000921.SZ</t>
  </si>
  <si>
    <t>海信家电</t>
  </si>
  <si>
    <t>600690.SH</t>
  </si>
  <si>
    <t>海尔智家</t>
  </si>
  <si>
    <r>
      <rPr>
        <sz val="9"/>
        <color theme="1"/>
        <rFont val="Microsoft YaHei Light"/>
        <family val="2"/>
        <charset val="134"/>
      </rPr>
      <t>最大值</t>
    </r>
  </si>
  <si>
    <r>
      <rPr>
        <sz val="9"/>
        <color theme="1"/>
        <rFont val="Microsoft YaHei Light"/>
        <family val="2"/>
        <charset val="134"/>
      </rPr>
      <t>最小值</t>
    </r>
  </si>
  <si>
    <r>
      <rPr>
        <sz val="9"/>
        <color theme="1"/>
        <rFont val="Microsoft YaHei Light"/>
        <family val="2"/>
        <charset val="134"/>
      </rPr>
      <t>平均值</t>
    </r>
  </si>
  <si>
    <r>
      <rPr>
        <sz val="9"/>
        <color theme="1"/>
        <rFont val="Microsoft YaHei Light"/>
        <family val="2"/>
        <charset val="134"/>
      </rPr>
      <t>中位数</t>
    </r>
  </si>
  <si>
    <r>
      <rPr>
        <b/>
        <sz val="9"/>
        <color theme="1"/>
        <rFont val="Microsoft YaHei Light"/>
        <family val="2"/>
        <charset val="134"/>
      </rPr>
      <t>标的公司指标</t>
    </r>
  </si>
  <si>
    <r>
      <rPr>
        <b/>
        <sz val="9"/>
        <color theme="0"/>
        <rFont val="Microsoft YaHei Light"/>
        <family val="2"/>
        <charset val="134"/>
      </rPr>
      <t>股份总数（百万股）</t>
    </r>
  </si>
  <si>
    <r>
      <rPr>
        <b/>
        <sz val="9"/>
        <color theme="0"/>
        <rFont val="Microsoft YaHei Light"/>
        <family val="2"/>
        <charset val="134"/>
      </rPr>
      <t>最新股价（元）</t>
    </r>
  </si>
  <si>
    <r>
      <rPr>
        <b/>
        <sz val="9"/>
        <color theme="0"/>
        <rFont val="Arial"/>
        <family val="2"/>
      </rPr>
      <t>2023</t>
    </r>
    <r>
      <rPr>
        <b/>
        <sz val="9"/>
        <color theme="0"/>
        <rFont val="Microsoft YaHei Light"/>
        <family val="2"/>
        <charset val="134"/>
      </rPr>
      <t>年收入（百万元）</t>
    </r>
  </si>
  <si>
    <r>
      <rPr>
        <b/>
        <sz val="9"/>
        <color theme="0"/>
        <rFont val="Arial"/>
        <family val="2"/>
      </rPr>
      <t>2023</t>
    </r>
    <r>
      <rPr>
        <b/>
        <sz val="9"/>
        <color theme="0"/>
        <rFont val="Microsoft YaHei Light"/>
        <family val="2"/>
        <charset val="134"/>
      </rPr>
      <t>年归母净利润（百万元）</t>
    </r>
  </si>
  <si>
    <r>
      <rPr>
        <b/>
        <sz val="9"/>
        <color theme="0"/>
        <rFont val="Arial"/>
        <family val="2"/>
      </rPr>
      <t>2022</t>
    </r>
    <r>
      <rPr>
        <b/>
        <sz val="9"/>
        <color theme="0"/>
        <rFont val="Microsoft YaHei Light"/>
        <family val="2"/>
        <charset val="134"/>
      </rPr>
      <t>年归母净资产（百万元）</t>
    </r>
  </si>
  <si>
    <r>
      <rPr>
        <b/>
        <sz val="9"/>
        <color indexed="9"/>
        <rFont val="Microsoft YaHei Light"/>
        <family val="2"/>
        <charset val="134"/>
      </rPr>
      <t>净利润上年同比增长率</t>
    </r>
    <r>
      <rPr>
        <b/>
        <sz val="9"/>
        <color indexed="9"/>
        <rFont val="Arial"/>
        <family val="2"/>
      </rPr>
      <t>(%)</t>
    </r>
  </si>
  <si>
    <r>
      <rPr>
        <b/>
        <sz val="9"/>
        <color theme="0"/>
        <rFont val="Arial"/>
        <family val="2"/>
      </rPr>
      <t>EBITDA</t>
    </r>
    <r>
      <rPr>
        <b/>
        <sz val="9"/>
        <color theme="0"/>
        <rFont val="Microsoft YaHei Light"/>
        <family val="2"/>
        <charset val="134"/>
      </rPr>
      <t>（百万元）</t>
    </r>
  </si>
  <si>
    <t>000333.SZ</t>
  </si>
  <si>
    <t>美的集团</t>
  </si>
  <si>
    <r>
      <rPr>
        <b/>
        <sz val="9"/>
        <color theme="0"/>
        <rFont val="Microsoft YaHei Light"/>
        <family val="2"/>
        <charset val="134"/>
      </rPr>
      <t>公司净负债（百万元）</t>
    </r>
  </si>
  <si>
    <r>
      <rPr>
        <b/>
        <sz val="9"/>
        <color theme="1"/>
        <rFont val="Microsoft YaHei Light"/>
        <family val="2"/>
        <charset val="134"/>
      </rPr>
      <t>股票价值（元）</t>
    </r>
  </si>
  <si>
    <r>
      <rPr>
        <b/>
        <sz val="9"/>
        <color theme="1"/>
        <rFont val="Microsoft YaHei Light"/>
        <family val="2"/>
        <charset val="134"/>
      </rPr>
      <t>市销率法</t>
    </r>
  </si>
  <si>
    <r>
      <rPr>
        <b/>
        <sz val="9"/>
        <color theme="1"/>
        <rFont val="Microsoft YaHei Light"/>
        <family val="2"/>
        <charset val="134"/>
      </rPr>
      <t>市盈率法</t>
    </r>
  </si>
  <si>
    <r>
      <rPr>
        <b/>
        <sz val="9"/>
        <color theme="1"/>
        <rFont val="Microsoft YaHei Light"/>
        <family val="2"/>
        <charset val="134"/>
      </rPr>
      <t>市净率法</t>
    </r>
  </si>
  <si>
    <r>
      <rPr>
        <b/>
        <sz val="9"/>
        <color theme="1"/>
        <rFont val="Arial"/>
        <family val="2"/>
      </rPr>
      <t>PEG</t>
    </r>
    <r>
      <rPr>
        <b/>
        <sz val="9"/>
        <color theme="1"/>
        <rFont val="宋体"/>
        <family val="3"/>
        <charset val="134"/>
      </rPr>
      <t>法</t>
    </r>
  </si>
  <si>
    <r>
      <rPr>
        <b/>
        <sz val="9"/>
        <color theme="1"/>
        <rFont val="Arial"/>
        <family val="2"/>
      </rPr>
      <t>EBITDA</t>
    </r>
    <r>
      <rPr>
        <b/>
        <sz val="9"/>
        <color theme="1"/>
        <rFont val="Microsoft YaHei Light"/>
        <family val="2"/>
        <charset val="134"/>
      </rPr>
      <t>法</t>
    </r>
  </si>
  <si>
    <r>
      <rPr>
        <b/>
        <sz val="10"/>
        <color theme="0"/>
        <rFont val="Microsoft YaHei Light"/>
        <family val="2"/>
        <charset val="134"/>
      </rPr>
      <t>估值方法</t>
    </r>
  </si>
  <si>
    <r>
      <rPr>
        <b/>
        <sz val="10"/>
        <color theme="0"/>
        <rFont val="Microsoft YaHei Light"/>
        <family val="2"/>
        <charset val="134"/>
      </rPr>
      <t>估值结果</t>
    </r>
  </si>
  <si>
    <r>
      <rPr>
        <sz val="10"/>
        <color theme="1"/>
        <rFont val="Microsoft YaHei Light"/>
        <family val="2"/>
        <charset val="134"/>
      </rPr>
      <t>估值区间</t>
    </r>
  </si>
  <si>
    <r>
      <rPr>
        <sz val="10"/>
        <color theme="1"/>
        <rFont val="Microsoft YaHei Light"/>
        <family val="2"/>
        <charset val="134"/>
      </rPr>
      <t>估值区间选择</t>
    </r>
  </si>
  <si>
    <r>
      <rPr>
        <sz val="10"/>
        <color theme="0"/>
        <rFont val="Microsoft YaHei Light"/>
        <family val="2"/>
        <charset val="134"/>
      </rPr>
      <t>辅助列</t>
    </r>
  </si>
  <si>
    <t>~</t>
  </si>
  <si>
    <r>
      <rPr>
        <sz val="10"/>
        <color theme="1"/>
        <rFont val="Microsoft YaHei Light"/>
        <family val="2"/>
        <charset val="134"/>
      </rPr>
      <t>贴现率、永续增长率上下浮动</t>
    </r>
    <r>
      <rPr>
        <sz val="10"/>
        <color theme="1"/>
        <rFont val="Arial"/>
        <family val="2"/>
      </rPr>
      <t>1</t>
    </r>
    <r>
      <rPr>
        <sz val="10"/>
        <color theme="1"/>
        <rFont val="Microsoft YaHei Light"/>
        <family val="2"/>
        <charset val="134"/>
      </rPr>
      <t>单位</t>
    </r>
  </si>
  <si>
    <t>PS</t>
  </si>
  <si>
    <r>
      <rPr>
        <sz val="10"/>
        <color theme="1"/>
        <rFont val="Microsoft YaHei Light"/>
        <family val="2"/>
        <charset val="134"/>
      </rPr>
      <t>最小值</t>
    </r>
    <r>
      <rPr>
        <sz val="10"/>
        <color theme="1"/>
        <rFont val="Arial"/>
        <family val="2"/>
      </rPr>
      <t>-</t>
    </r>
    <r>
      <rPr>
        <sz val="10"/>
        <color theme="1"/>
        <rFont val="Microsoft YaHei Light"/>
        <family val="2"/>
        <charset val="134"/>
      </rPr>
      <t>最大值</t>
    </r>
  </si>
  <si>
    <t>PE</t>
  </si>
  <si>
    <t>PB</t>
  </si>
  <si>
    <t>PEG</t>
  </si>
  <si>
    <t>呈现上升趋势，保守按照2023年数预计</t>
    <phoneticPr fontId="40" type="noConversion"/>
  </si>
  <si>
    <t>假定未来保持这一水平</t>
    <phoneticPr fontId="40" type="noConversion"/>
  </si>
  <si>
    <t>按上一年度数据</t>
    <phoneticPr fontId="40" type="noConversion"/>
  </si>
  <si>
    <r>
      <rPr>
        <sz val="10"/>
        <color theme="1"/>
        <rFont val="Microsoft YaHei Light"/>
        <family val="2"/>
        <charset val="134"/>
      </rPr>
      <t>参考最新一年期贷款</t>
    </r>
    <r>
      <rPr>
        <sz val="10"/>
        <color theme="1"/>
        <rFont val="Arial"/>
        <family val="2"/>
      </rPr>
      <t>LPR</t>
    </r>
    <phoneticPr fontId="40" type="noConversion"/>
  </si>
  <si>
    <r>
      <rPr>
        <sz val="10"/>
        <color theme="1"/>
        <rFont val="Microsoft YaHei Light"/>
        <family val="2"/>
        <charset val="134"/>
      </rPr>
      <t>因此预测收入增长按照公司均能达成</t>
    </r>
    <r>
      <rPr>
        <sz val="10"/>
        <color theme="1"/>
        <rFont val="宋体"/>
        <family val="3"/>
        <charset val="134"/>
      </rPr>
      <t>预测值</t>
    </r>
    <phoneticPr fontId="40" type="noConversion"/>
  </si>
  <si>
    <r>
      <rPr>
        <sz val="10"/>
        <color theme="1"/>
        <rFont val="Microsoft YaHei Light"/>
        <family val="2"/>
        <charset val="134"/>
      </rPr>
      <t>毛利率呈现</t>
    </r>
    <r>
      <rPr>
        <sz val="10"/>
        <color theme="1"/>
        <rFont val="宋体"/>
        <family val="3"/>
        <charset val="134"/>
      </rPr>
      <t>小幅波动</t>
    </r>
    <r>
      <rPr>
        <sz val="10"/>
        <color theme="1"/>
        <rFont val="Microsoft YaHei Light"/>
        <family val="2"/>
        <charset val="134"/>
      </rPr>
      <t>，保守按照</t>
    </r>
    <r>
      <rPr>
        <sz val="10"/>
        <color theme="1"/>
        <rFont val="Arial"/>
        <family val="2"/>
      </rPr>
      <t>2023</t>
    </r>
    <r>
      <rPr>
        <sz val="10"/>
        <color theme="1"/>
        <rFont val="Microsoft YaHei Light"/>
        <family val="2"/>
        <charset val="134"/>
      </rPr>
      <t>年数预计</t>
    </r>
    <phoneticPr fontId="40" type="noConversion"/>
  </si>
  <si>
    <t>数据来源于同花顺</t>
    <phoneticPr fontId="40" type="noConversion"/>
  </si>
  <si>
    <r>
      <rPr>
        <sz val="10"/>
        <color theme="1"/>
        <rFont val="Microsoft YaHei Light"/>
        <family val="2"/>
        <charset val="134"/>
      </rPr>
      <t>公司</t>
    </r>
    <r>
      <rPr>
        <sz val="10"/>
        <color theme="1"/>
        <rFont val="Arial"/>
        <family val="2"/>
      </rPr>
      <t>2023</t>
    </r>
    <r>
      <rPr>
        <sz val="10"/>
        <color theme="1"/>
        <rFont val="Microsoft YaHei Light"/>
        <family val="2"/>
        <charset val="134"/>
      </rPr>
      <t>年</t>
    </r>
    <r>
      <rPr>
        <sz val="10"/>
        <color theme="1"/>
        <rFont val="宋体"/>
        <family val="3"/>
        <charset val="134"/>
      </rPr>
      <t>年报</t>
    </r>
    <r>
      <rPr>
        <sz val="10"/>
        <color theme="1"/>
        <rFont val="Microsoft YaHei Light"/>
        <family val="2"/>
        <charset val="134"/>
      </rPr>
      <t>带息负债</t>
    </r>
    <phoneticPr fontId="40" type="noConversion"/>
  </si>
  <si>
    <t>结果汇总 Summary</t>
  </si>
  <si>
    <t>基本情景</t>
  </si>
  <si>
    <t>（特殊说明除外，单位为百万元人民币）</t>
  </si>
  <si>
    <t>基本说明</t>
  </si>
  <si>
    <t>公司代码</t>
  </si>
  <si>
    <t>公司简称</t>
  </si>
  <si>
    <t>估值参数及结果</t>
  </si>
  <si>
    <t>下限</t>
  </si>
  <si>
    <t>Wacc</t>
  </si>
  <si>
    <t>长期增长率（g）</t>
  </si>
  <si>
    <t>股价（元/股）</t>
  </si>
  <si>
    <t>关键财务数据及比率</t>
  </si>
  <si>
    <t>营业收入</t>
  </si>
  <si>
    <t>YOY 增长率</t>
  </si>
  <si>
    <t>营业成本</t>
  </si>
  <si>
    <t>毛利率（Gross margin)</t>
  </si>
  <si>
    <t>销售费用</t>
  </si>
  <si>
    <t>销售费用率</t>
  </si>
  <si>
    <t>管理费用</t>
  </si>
  <si>
    <t>管理费用率</t>
  </si>
  <si>
    <t>研发费用</t>
  </si>
  <si>
    <t>研发费用率</t>
  </si>
  <si>
    <t>经营利润（EBIT)</t>
  </si>
  <si>
    <t>经营利润率（EBIT margin）</t>
  </si>
  <si>
    <t>所得税率</t>
  </si>
  <si>
    <t>EBIAT，NOPLAT</t>
  </si>
  <si>
    <t>EBIAT margin</t>
  </si>
  <si>
    <t>归母净利润</t>
  </si>
  <si>
    <t>归母净利润率</t>
  </si>
  <si>
    <t>经营性营运资金（OWC）</t>
  </si>
  <si>
    <t>OWC/营业收入</t>
  </si>
  <si>
    <t>End</t>
  </si>
  <si>
    <t>000333.SZ</t>
    <phoneticPr fontId="40" type="noConversion"/>
  </si>
  <si>
    <t>美的集团</t>
    <phoneticPr fontId="40" type="noConversion"/>
  </si>
  <si>
    <t>智能家居业务</t>
    <phoneticPr fontId="40" type="noConversion"/>
  </si>
  <si>
    <t>工商业解决方案</t>
    <phoneticPr fontId="40" type="noConversion"/>
  </si>
  <si>
    <t>其他</t>
    <phoneticPr fontId="40" type="noConversion"/>
  </si>
  <si>
    <t>--</t>
    <phoneticPr fontId="40" type="noConversion"/>
  </si>
  <si>
    <t>Midea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</si>
</sst>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76" formatCode="#,##0.0_);\(#,##0.0\);&quot;-&quot;"/>
    <numFmt numFmtId="177" formatCode="0.0"/>
    <numFmt numFmtId="178" formatCode="#,##0.0"/>
    <numFmt numFmtId="179" formatCode="General&quot;A&quot;"/>
    <numFmt numFmtId="180" formatCode="General&quot;E&quot;"/>
    <numFmt numFmtId="181" formatCode="_ * #,##0.0_ ;_ * \-#,##0.0_ ;_ * &quot;-&quot;??_ ;_ @_ "/>
    <numFmt numFmtId="182" formatCode="0.0%"/>
    <numFmt numFmtId="183" formatCode="#,##0.00_);\(#,##0.00\);&quot;-&quot;"/>
    <numFmt numFmtId="184" formatCode="_ * #,##0_ ;_ * \-#,##0_ ;_ * &quot;-&quot;??_ ;_ @_ "/>
    <numFmt numFmtId="185" formatCode="#,##0.00_);\(#,##0.00\)"/>
    <numFmt numFmtId="186" formatCode="General&quot;X&quot;"/>
    <numFmt numFmtId="187" formatCode="#,##0.000_);\(#,##0.000\)"/>
    <numFmt numFmtId="188" formatCode="#,##0_ "/>
    <numFmt numFmtId="189" formatCode="#,##0.0_ "/>
    <numFmt numFmtId="190" formatCode="yyyy\A"/>
    <numFmt numFmtId="191" formatCode="yyyy\E"/>
  </numFmts>
  <fonts count="49">
    <font>
      <sz val="11"/>
      <color theme="1"/>
      <name val="华文楷体"/>
      <charset val="134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11"/>
      <color indexed="8"/>
      <name val="宋体"/>
      <family val="3"/>
      <charset val="134"/>
    </font>
    <font>
      <b/>
      <sz val="9"/>
      <color theme="0"/>
      <name val="Arial"/>
      <family val="2"/>
    </font>
    <font>
      <sz val="9"/>
      <color indexed="12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  <font>
      <sz val="9"/>
      <color rgb="FF0000FF"/>
      <name val="宋体"/>
      <family val="3"/>
      <charset val="134"/>
    </font>
    <font>
      <b/>
      <sz val="9"/>
      <color rgb="FF0000FF"/>
      <name val="Arial"/>
      <family val="2"/>
    </font>
    <font>
      <b/>
      <sz val="9"/>
      <color indexed="9"/>
      <name val="Arial"/>
      <family val="2"/>
    </font>
    <font>
      <b/>
      <sz val="9"/>
      <color indexed="9"/>
      <name val="Microsoft YaHei Light"/>
      <family val="2"/>
      <charset val="134"/>
    </font>
    <font>
      <sz val="9"/>
      <color indexed="8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7"/>
      <color rgb="FF000000"/>
      <name val="Microsoft YaHei"/>
      <charset val="134"/>
    </font>
    <font>
      <sz val="10"/>
      <color theme="1"/>
      <name val="Microsoft YaHei Light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Microsoft YaHei"/>
      <charset val="134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0"/>
      <color theme="1"/>
      <name val="Microsoft YaHei Light"/>
      <family val="2"/>
      <charset val="134"/>
    </font>
    <font>
      <sz val="7"/>
      <color rgb="FF474762"/>
      <name val="Microsoft YaHei"/>
      <charset val="134"/>
    </font>
    <font>
      <sz val="11"/>
      <color theme="1"/>
      <name val="华文楷体"/>
      <family val="3"/>
      <charset val="134"/>
      <scheme val="minor"/>
    </font>
    <font>
      <b/>
      <sz val="9"/>
      <color theme="0"/>
      <name val="Microsoft YaHei Light"/>
      <family val="2"/>
      <charset val="134"/>
    </font>
    <font>
      <sz val="10"/>
      <name val="Microsoft YaHei Light"/>
      <family val="2"/>
      <charset val="134"/>
    </font>
    <font>
      <sz val="10"/>
      <color rgb="FFFF0000"/>
      <name val="Microsoft YaHei Light"/>
      <family val="2"/>
      <charset val="134"/>
    </font>
    <font>
      <b/>
      <sz val="10"/>
      <color theme="0"/>
      <name val="Microsoft YaHei Light"/>
      <family val="2"/>
      <charset val="134"/>
    </font>
    <font>
      <b/>
      <sz val="9"/>
      <color theme="1"/>
      <name val="Microsoft YaHei Light"/>
      <family val="2"/>
      <charset val="134"/>
    </font>
    <font>
      <sz val="9"/>
      <color theme="1"/>
      <name val="Microsoft YaHei Light"/>
      <family val="2"/>
      <charset val="134"/>
    </font>
    <font>
      <b/>
      <sz val="9"/>
      <color theme="0"/>
      <name val="宋体"/>
      <family val="3"/>
      <charset val="134"/>
    </font>
    <font>
      <sz val="10"/>
      <color theme="0"/>
      <name val="Microsoft YaHei Light"/>
      <family val="2"/>
      <charset val="134"/>
    </font>
    <font>
      <b/>
      <sz val="9"/>
      <color theme="1"/>
      <name val="宋体"/>
      <family val="3"/>
      <charset val="134"/>
    </font>
    <font>
      <sz val="9"/>
      <name val="华文楷体"/>
      <family val="3"/>
      <charset val="134"/>
      <scheme val="minor"/>
    </font>
    <font>
      <sz val="10"/>
      <color theme="1"/>
      <name val="Arial"/>
      <family val="2"/>
      <charset val="134"/>
    </font>
    <font>
      <sz val="10"/>
      <color indexed="8"/>
      <name val="等线"/>
      <family val="3"/>
      <charset val="134"/>
    </font>
    <font>
      <b/>
      <sz val="15"/>
      <color indexed="9"/>
      <name val="等线"/>
      <family val="3"/>
      <charset val="134"/>
    </font>
    <font>
      <b/>
      <sz val="13"/>
      <color indexed="8"/>
      <name val="等线"/>
      <family val="3"/>
      <charset val="134"/>
    </font>
    <font>
      <b/>
      <sz val="11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30"/>
      <name val="等线"/>
      <family val="3"/>
      <charset val="134"/>
    </font>
    <font>
      <b/>
      <sz val="11"/>
      <color indexed="9"/>
      <name val="等线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0.79985961485641044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B70B3"/>
        <bgColor indexed="64"/>
      </patternFill>
    </fill>
    <fill>
      <patternFill patternType="solid">
        <fgColor rgb="FFDDEBF7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0" fillId="0" borderId="0"/>
    <xf numFmtId="0" fontId="30" fillId="0" borderId="0">
      <alignment vertical="center"/>
    </xf>
    <xf numFmtId="43" fontId="30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5" applyFont="1"/>
    <xf numFmtId="0" fontId="6" fillId="0" borderId="0" xfId="5" applyFont="1"/>
    <xf numFmtId="0" fontId="6" fillId="0" borderId="0" xfId="5" applyFont="1" applyAlignment="1">
      <alignment horizontal="center"/>
    </xf>
    <xf numFmtId="0" fontId="7" fillId="0" borderId="0" xfId="5" applyFont="1"/>
    <xf numFmtId="177" fontId="8" fillId="0" borderId="0" xfId="0" applyNumberFormat="1" applyFont="1" applyAlignment="1">
      <alignment horizontal="center"/>
    </xf>
    <xf numFmtId="0" fontId="9" fillId="2" borderId="0" xfId="5" applyFont="1" applyFill="1"/>
    <xf numFmtId="0" fontId="9" fillId="2" borderId="0" xfId="5" applyFont="1" applyFill="1" applyAlignment="1">
      <alignment horizontal="center"/>
    </xf>
    <xf numFmtId="0" fontId="10" fillId="0" borderId="0" xfId="0" applyFont="1" applyAlignment="1"/>
    <xf numFmtId="3" fontId="10" fillId="0" borderId="0" xfId="0" applyNumberFormat="1" applyFont="1" applyAlignment="1">
      <alignment horizontal="center"/>
    </xf>
    <xf numFmtId="17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77" fontId="10" fillId="0" borderId="0" xfId="0" applyNumberFormat="1" applyFont="1" applyAlignment="1">
      <alignment horizontal="center"/>
    </xf>
    <xf numFmtId="0" fontId="11" fillId="0" borderId="0" xfId="0" applyFont="1" applyAlignment="1"/>
    <xf numFmtId="3" fontId="7" fillId="0" borderId="0" xfId="5" applyNumberFormat="1" applyFont="1" applyAlignment="1">
      <alignment horizontal="center"/>
    </xf>
    <xf numFmtId="178" fontId="7" fillId="0" borderId="0" xfId="5" applyNumberFormat="1" applyFont="1" applyAlignment="1">
      <alignment horizontal="center"/>
    </xf>
    <xf numFmtId="0" fontId="6" fillId="0" borderId="1" xfId="5" applyFont="1" applyBorder="1"/>
    <xf numFmtId="3" fontId="6" fillId="0" borderId="1" xfId="5" applyNumberFormat="1" applyFont="1" applyBorder="1" applyAlignment="1">
      <alignment horizontal="center"/>
    </xf>
    <xf numFmtId="178" fontId="6" fillId="0" borderId="1" xfId="5" applyNumberFormat="1" applyFont="1" applyBorder="1" applyAlignment="1">
      <alignment horizontal="center"/>
    </xf>
    <xf numFmtId="0" fontId="12" fillId="0" borderId="0" xfId="5" applyFont="1"/>
    <xf numFmtId="3" fontId="6" fillId="0" borderId="0" xfId="5" applyNumberFormat="1" applyFont="1" applyAlignment="1">
      <alignment horizontal="center"/>
    </xf>
    <xf numFmtId="178" fontId="6" fillId="0" borderId="0" xfId="5" applyNumberFormat="1" applyFont="1" applyAlignment="1">
      <alignment horizontal="center"/>
    </xf>
    <xf numFmtId="0" fontId="6" fillId="3" borderId="0" xfId="5" applyFont="1" applyFill="1"/>
    <xf numFmtId="3" fontId="6" fillId="3" borderId="0" xfId="5" applyNumberFormat="1" applyFont="1" applyFill="1" applyAlignment="1">
      <alignment horizontal="center"/>
    </xf>
    <xf numFmtId="178" fontId="6" fillId="3" borderId="0" xfId="5" applyNumberFormat="1" applyFont="1" applyFill="1" applyAlignment="1">
      <alignment horizontal="center"/>
    </xf>
    <xf numFmtId="0" fontId="13" fillId="0" borderId="0" xfId="5" applyFont="1"/>
    <xf numFmtId="0" fontId="14" fillId="0" borderId="0" xfId="5" applyFont="1" applyAlignment="1">
      <alignment horizontal="center"/>
    </xf>
    <xf numFmtId="3" fontId="5" fillId="0" borderId="0" xfId="5" applyNumberFormat="1" applyFont="1" applyAlignment="1">
      <alignment horizontal="center"/>
    </xf>
    <xf numFmtId="0" fontId="6" fillId="0" borderId="1" xfId="5" applyFont="1" applyBorder="1" applyAlignment="1">
      <alignment horizontal="center"/>
    </xf>
    <xf numFmtId="0" fontId="6" fillId="3" borderId="0" xfId="5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4" fontId="10" fillId="0" borderId="0" xfId="0" applyNumberFormat="1" applyFont="1" applyAlignment="1">
      <alignment horizontal="center"/>
    </xf>
    <xf numFmtId="4" fontId="7" fillId="0" borderId="0" xfId="5" applyNumberFormat="1" applyFont="1" applyAlignment="1">
      <alignment horizontal="center"/>
    </xf>
    <xf numFmtId="4" fontId="6" fillId="0" borderId="1" xfId="5" applyNumberFormat="1" applyFont="1" applyBorder="1" applyAlignment="1">
      <alignment horizontal="center"/>
    </xf>
    <xf numFmtId="4" fontId="6" fillId="0" borderId="0" xfId="5" applyNumberFormat="1" applyFont="1" applyAlignment="1">
      <alignment horizontal="center"/>
    </xf>
    <xf numFmtId="4" fontId="6" fillId="3" borderId="0" xfId="5" applyNumberFormat="1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9" fontId="17" fillId="0" borderId="0" xfId="0" applyNumberFormat="1" applyFont="1" applyAlignment="1">
      <alignment horizontal="center"/>
    </xf>
    <xf numFmtId="178" fontId="5" fillId="0" borderId="0" xfId="5" applyNumberFormat="1" applyFont="1" applyAlignment="1">
      <alignment horizontal="center"/>
    </xf>
    <xf numFmtId="49" fontId="2" fillId="2" borderId="0" xfId="0" applyNumberFormat="1" applyFont="1" applyFill="1" applyAlignment="1">
      <alignment vertical="top"/>
    </xf>
    <xf numFmtId="179" fontId="2" fillId="5" borderId="0" xfId="1" applyNumberFormat="1" applyFont="1" applyFill="1" applyAlignment="1">
      <alignment vertical="center"/>
    </xf>
    <xf numFmtId="180" fontId="2" fillId="2" borderId="0" xfId="1" applyNumberFormat="1" applyFont="1" applyFill="1" applyAlignment="1">
      <alignment vertical="center"/>
    </xf>
    <xf numFmtId="49" fontId="3" fillId="6" borderId="0" xfId="0" applyNumberFormat="1" applyFont="1" applyFill="1" applyAlignment="1">
      <alignment vertical="top"/>
    </xf>
    <xf numFmtId="181" fontId="2" fillId="6" borderId="0" xfId="1" applyNumberFormat="1" applyFont="1" applyFill="1">
      <alignment vertical="center"/>
    </xf>
    <xf numFmtId="181" fontId="3" fillId="6" borderId="0" xfId="1" applyNumberFormat="1" applyFont="1" applyFill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9" fontId="3" fillId="0" borderId="0" xfId="2" applyFont="1" applyBorder="1">
      <alignment vertical="center"/>
    </xf>
    <xf numFmtId="182" fontId="1" fillId="0" borderId="0" xfId="2" applyNumberFormat="1" applyFont="1" applyBorder="1">
      <alignment vertical="center"/>
    </xf>
    <xf numFmtId="176" fontId="1" fillId="0" borderId="0" xfId="0" applyNumberFormat="1" applyFont="1">
      <alignment vertical="center"/>
    </xf>
    <xf numFmtId="183" fontId="1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176" fontId="3" fillId="0" borderId="2" xfId="0" applyNumberFormat="1" applyFont="1" applyBorder="1">
      <alignment vertical="center"/>
    </xf>
    <xf numFmtId="176" fontId="18" fillId="0" borderId="0" xfId="0" applyNumberFormat="1" applyFont="1">
      <alignment vertical="center"/>
    </xf>
    <xf numFmtId="182" fontId="3" fillId="0" borderId="0" xfId="2" applyNumberFormat="1" applyFont="1" applyFill="1" applyBorder="1">
      <alignment vertical="center"/>
    </xf>
    <xf numFmtId="182" fontId="3" fillId="0" borderId="0" xfId="2" applyNumberFormat="1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184" fontId="2" fillId="0" borderId="0" xfId="1" applyNumberFormat="1" applyFont="1" applyBorder="1">
      <alignment vertical="center"/>
    </xf>
    <xf numFmtId="182" fontId="1" fillId="0" borderId="0" xfId="2" applyNumberFormat="1" applyFont="1">
      <alignment vertical="center"/>
    </xf>
    <xf numFmtId="176" fontId="1" fillId="0" borderId="3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4" xfId="0" applyNumberFormat="1" applyFont="1" applyBorder="1">
      <alignment vertical="center"/>
    </xf>
    <xf numFmtId="176" fontId="1" fillId="3" borderId="0" xfId="0" applyNumberFormat="1" applyFont="1" applyFill="1">
      <alignment vertical="center"/>
    </xf>
    <xf numFmtId="0" fontId="3" fillId="0" borderId="0" xfId="0" applyFont="1" applyAlignment="1">
      <alignment horizontal="right" vertical="center"/>
    </xf>
    <xf numFmtId="176" fontId="3" fillId="7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182" fontId="1" fillId="3" borderId="5" xfId="2" applyNumberFormat="1" applyFont="1" applyFill="1" applyBorder="1" applyAlignment="1">
      <alignment vertical="center"/>
    </xf>
    <xf numFmtId="182" fontId="1" fillId="3" borderId="5" xfId="2" applyNumberFormat="1" applyFont="1" applyFill="1" applyBorder="1" applyAlignment="1">
      <alignment vertical="top"/>
    </xf>
    <xf numFmtId="0" fontId="1" fillId="0" borderId="6" xfId="0" applyFont="1" applyBorder="1">
      <alignment vertical="center"/>
    </xf>
    <xf numFmtId="176" fontId="1" fillId="0" borderId="6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185" fontId="1" fillId="0" borderId="0" xfId="0" applyNumberFormat="1" applyFont="1">
      <alignment vertical="center"/>
    </xf>
    <xf numFmtId="14" fontId="19" fillId="0" borderId="0" xfId="0" applyNumberFormat="1" applyFont="1">
      <alignment vertical="center"/>
    </xf>
    <xf numFmtId="186" fontId="1" fillId="3" borderId="5" xfId="2" applyNumberFormat="1" applyFont="1" applyFill="1" applyBorder="1" applyAlignment="1">
      <alignment vertical="top"/>
    </xf>
    <xf numFmtId="183" fontId="19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9" fontId="1" fillId="0" borderId="0" xfId="2" applyFont="1" applyBorder="1">
      <alignment vertical="center"/>
    </xf>
    <xf numFmtId="9" fontId="1" fillId="0" borderId="0" xfId="2" applyFont="1">
      <alignment vertical="center"/>
    </xf>
    <xf numFmtId="0" fontId="1" fillId="6" borderId="0" xfId="0" applyFont="1" applyFill="1">
      <alignment vertical="center"/>
    </xf>
    <xf numFmtId="176" fontId="3" fillId="6" borderId="0" xfId="0" applyNumberFormat="1" applyFont="1" applyFill="1">
      <alignment vertical="center"/>
    </xf>
    <xf numFmtId="176" fontId="1" fillId="6" borderId="0" xfId="0" applyNumberFormat="1" applyFont="1" applyFill="1">
      <alignment vertical="center"/>
    </xf>
    <xf numFmtId="10" fontId="1" fillId="3" borderId="5" xfId="2" applyNumberFormat="1" applyFont="1" applyFill="1" applyBorder="1" applyAlignment="1">
      <alignment vertical="top"/>
    </xf>
    <xf numFmtId="183" fontId="1" fillId="3" borderId="5" xfId="2" applyNumberFormat="1" applyFont="1" applyFill="1" applyBorder="1" applyAlignment="1">
      <alignment vertical="top"/>
    </xf>
    <xf numFmtId="176" fontId="21" fillId="0" borderId="0" xfId="0" applyNumberFormat="1" applyFont="1">
      <alignment vertical="center"/>
    </xf>
    <xf numFmtId="0" fontId="22" fillId="0" borderId="0" xfId="0" applyFont="1" applyAlignment="1">
      <alignment vertical="center" wrapText="1"/>
    </xf>
    <xf numFmtId="181" fontId="1" fillId="0" borderId="0" xfId="1" applyNumberFormat="1" applyFont="1" applyAlignment="1">
      <alignment vertical="top"/>
    </xf>
    <xf numFmtId="176" fontId="1" fillId="3" borderId="5" xfId="2" applyNumberFormat="1" applyFont="1" applyFill="1" applyBorder="1" applyAlignment="1">
      <alignment vertical="top"/>
    </xf>
    <xf numFmtId="49" fontId="2" fillId="2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1" fillId="3" borderId="5" xfId="1" applyNumberFormat="1" applyFont="1" applyFill="1" applyBorder="1" applyAlignment="1">
      <alignment vertical="center"/>
    </xf>
    <xf numFmtId="0" fontId="1" fillId="8" borderId="0" xfId="0" applyFont="1" applyFill="1">
      <alignment vertical="center"/>
    </xf>
    <xf numFmtId="181" fontId="1" fillId="8" borderId="0" xfId="1" applyNumberFormat="1" applyFont="1" applyFill="1" applyAlignment="1">
      <alignment vertical="center"/>
    </xf>
    <xf numFmtId="181" fontId="1" fillId="0" borderId="0" xfId="1" applyNumberFormat="1" applyFont="1" applyAlignment="1">
      <alignment vertical="center"/>
    </xf>
    <xf numFmtId="181" fontId="1" fillId="3" borderId="5" xfId="1" applyNumberFormat="1" applyFont="1" applyFill="1" applyBorder="1" applyAlignment="1">
      <alignment vertical="center"/>
    </xf>
    <xf numFmtId="181" fontId="2" fillId="0" borderId="0" xfId="1" applyNumberFormat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82" fontId="1" fillId="0" borderId="0" xfId="2" applyNumberFormat="1" applyFont="1" applyAlignment="1">
      <alignment vertical="center"/>
    </xf>
    <xf numFmtId="0" fontId="11" fillId="0" borderId="0" xfId="0" applyFont="1">
      <alignment vertical="center"/>
    </xf>
    <xf numFmtId="182" fontId="11" fillId="0" borderId="0" xfId="2" applyNumberFormat="1" applyFont="1" applyAlignment="1">
      <alignment horizontal="right" vertical="center"/>
    </xf>
    <xf numFmtId="182" fontId="11" fillId="3" borderId="5" xfId="2" applyNumberFormat="1" applyFont="1" applyFill="1" applyBorder="1" applyAlignment="1">
      <alignment horizontal="right" vertical="center"/>
    </xf>
    <xf numFmtId="9" fontId="1" fillId="3" borderId="5" xfId="2" applyFont="1" applyFill="1" applyBorder="1" applyAlignment="1">
      <alignment vertical="center"/>
    </xf>
    <xf numFmtId="9" fontId="1" fillId="0" borderId="0" xfId="2" applyFont="1" applyAlignment="1">
      <alignment vertical="center"/>
    </xf>
    <xf numFmtId="0" fontId="3" fillId="8" borderId="0" xfId="0" applyFont="1" applyFill="1">
      <alignment vertical="center"/>
    </xf>
    <xf numFmtId="176" fontId="3" fillId="8" borderId="0" xfId="1" applyNumberFormat="1" applyFont="1" applyFill="1" applyAlignment="1">
      <alignment vertical="center"/>
    </xf>
    <xf numFmtId="176" fontId="3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176" fontId="1" fillId="0" borderId="0" xfId="1" applyNumberFormat="1" applyFont="1" applyBorder="1" applyAlignment="1">
      <alignment vertical="center"/>
    </xf>
    <xf numFmtId="10" fontId="1" fillId="3" borderId="5" xfId="2" applyNumberFormat="1" applyFont="1" applyFill="1" applyBorder="1" applyAlignment="1">
      <alignment vertical="center"/>
    </xf>
    <xf numFmtId="0" fontId="1" fillId="0" borderId="8" xfId="0" applyFont="1" applyBorder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3" borderId="5" xfId="1" applyNumberFormat="1" applyFont="1" applyFill="1" applyBorder="1" applyAlignment="1">
      <alignment vertical="center"/>
    </xf>
    <xf numFmtId="181" fontId="1" fillId="0" borderId="0" xfId="1" applyNumberFormat="1" applyFont="1" applyFill="1" applyAlignment="1">
      <alignment vertical="center"/>
    </xf>
    <xf numFmtId="181" fontId="23" fillId="0" borderId="0" xfId="1" applyNumberFormat="1" applyFont="1" applyAlignment="1">
      <alignment vertical="center"/>
    </xf>
    <xf numFmtId="0" fontId="23" fillId="0" borderId="0" xfId="0" applyFont="1">
      <alignment vertical="center"/>
    </xf>
    <xf numFmtId="181" fontId="24" fillId="0" borderId="0" xfId="1" applyNumberFormat="1" applyFont="1" applyAlignment="1">
      <alignment vertical="center"/>
    </xf>
    <xf numFmtId="176" fontId="3" fillId="0" borderId="0" xfId="1" applyNumberFormat="1" applyFont="1" applyBorder="1" applyAlignment="1">
      <alignment vertical="center"/>
    </xf>
    <xf numFmtId="179" fontId="3" fillId="0" borderId="0" xfId="1" applyNumberFormat="1" applyFont="1" applyFill="1" applyAlignment="1">
      <alignment vertical="center"/>
    </xf>
    <xf numFmtId="0" fontId="25" fillId="0" borderId="0" xfId="0" applyFont="1">
      <alignment vertical="center"/>
    </xf>
    <xf numFmtId="176" fontId="19" fillId="0" borderId="0" xfId="0" applyNumberFormat="1" applyFont="1">
      <alignment vertical="center"/>
    </xf>
    <xf numFmtId="0" fontId="2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3" fillId="8" borderId="0" xfId="0" applyNumberFormat="1" applyFont="1" applyFill="1">
      <alignment vertical="center"/>
    </xf>
    <xf numFmtId="179" fontId="2" fillId="8" borderId="0" xfId="1" applyNumberFormat="1" applyFont="1" applyFill="1" applyAlignment="1">
      <alignment vertical="center"/>
    </xf>
    <xf numFmtId="180" fontId="2" fillId="8" borderId="0" xfId="1" applyNumberFormat="1" applyFont="1" applyFill="1" applyAlignment="1">
      <alignment vertical="center"/>
    </xf>
    <xf numFmtId="176" fontId="19" fillId="0" borderId="0" xfId="1" applyNumberFormat="1" applyFont="1" applyAlignment="1">
      <alignment vertical="center"/>
    </xf>
    <xf numFmtId="49" fontId="3" fillId="0" borderId="8" xfId="0" applyNumberFormat="1" applyFont="1" applyBorder="1">
      <alignment vertical="center"/>
    </xf>
    <xf numFmtId="181" fontId="26" fillId="0" borderId="8" xfId="1" applyNumberFormat="1" applyFont="1" applyBorder="1" applyAlignment="1">
      <alignment vertical="center"/>
    </xf>
    <xf numFmtId="176" fontId="3" fillId="0" borderId="8" xfId="1" applyNumberFormat="1" applyFont="1" applyBorder="1" applyAlignment="1">
      <alignment vertical="center"/>
    </xf>
    <xf numFmtId="181" fontId="3" fillId="0" borderId="8" xfId="1" applyNumberFormat="1" applyFont="1" applyBorder="1" applyAlignment="1">
      <alignment vertical="center"/>
    </xf>
    <xf numFmtId="181" fontId="3" fillId="0" borderId="0" xfId="1" applyNumberFormat="1" applyFont="1" applyAlignment="1">
      <alignment vertical="center"/>
    </xf>
    <xf numFmtId="49" fontId="1" fillId="0" borderId="8" xfId="0" applyNumberFormat="1" applyFont="1" applyBorder="1">
      <alignment vertical="center"/>
    </xf>
    <xf numFmtId="181" fontId="1" fillId="0" borderId="8" xfId="1" applyNumberFormat="1" applyFont="1" applyBorder="1" applyAlignment="1">
      <alignment vertical="center"/>
    </xf>
    <xf numFmtId="181" fontId="1" fillId="0" borderId="0" xfId="1" applyNumberFormat="1" applyFont="1" applyBorder="1" applyAlignment="1">
      <alignment vertical="center"/>
    </xf>
    <xf numFmtId="181" fontId="19" fillId="0" borderId="0" xfId="1" applyNumberFormat="1" applyFont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6" fontId="1" fillId="0" borderId="9" xfId="1" applyNumberFormat="1" applyFont="1" applyBorder="1" applyAlignment="1">
      <alignment vertical="center"/>
    </xf>
    <xf numFmtId="176" fontId="1" fillId="0" borderId="10" xfId="1" applyNumberFormat="1" applyFont="1" applyBorder="1" applyAlignment="1">
      <alignment vertical="center"/>
    </xf>
    <xf numFmtId="176" fontId="1" fillId="0" borderId="11" xfId="1" applyNumberFormat="1" applyFont="1" applyBorder="1" applyAlignment="1">
      <alignment vertical="center"/>
    </xf>
    <xf numFmtId="176" fontId="1" fillId="0" borderId="12" xfId="1" applyNumberFormat="1" applyFont="1" applyBorder="1" applyAlignment="1">
      <alignment vertical="center"/>
    </xf>
    <xf numFmtId="176" fontId="1" fillId="0" borderId="13" xfId="1" applyNumberFormat="1" applyFont="1" applyBorder="1" applyAlignment="1">
      <alignment vertical="center"/>
    </xf>
    <xf numFmtId="176" fontId="1" fillId="0" borderId="14" xfId="1" applyNumberFormat="1" applyFont="1" applyBorder="1" applyAlignment="1">
      <alignment vertical="center"/>
    </xf>
    <xf numFmtId="176" fontId="1" fillId="0" borderId="15" xfId="1" applyNumberFormat="1" applyFont="1" applyBorder="1" applyAlignment="1">
      <alignment vertical="center"/>
    </xf>
    <xf numFmtId="181" fontId="1" fillId="0" borderId="0" xfId="0" applyNumberFormat="1" applyFont="1">
      <alignment vertical="center"/>
    </xf>
    <xf numFmtId="181" fontId="27" fillId="0" borderId="0" xfId="1" applyNumberFormat="1" applyFont="1" applyAlignment="1">
      <alignment vertical="center"/>
    </xf>
    <xf numFmtId="187" fontId="1" fillId="0" borderId="0" xfId="0" applyNumberFormat="1" applyFont="1">
      <alignment vertical="center"/>
    </xf>
    <xf numFmtId="0" fontId="3" fillId="0" borderId="8" xfId="0" applyFont="1" applyBorder="1">
      <alignment vertical="center"/>
    </xf>
    <xf numFmtId="43" fontId="1" fillId="0" borderId="0" xfId="1" applyFont="1" applyAlignment="1">
      <alignment vertical="center"/>
    </xf>
    <xf numFmtId="176" fontId="1" fillId="0" borderId="0" xfId="1" applyNumberFormat="1" applyFont="1" applyFill="1" applyAlignment="1">
      <alignment vertical="center"/>
    </xf>
    <xf numFmtId="176" fontId="19" fillId="0" borderId="0" xfId="1" applyNumberFormat="1" applyFont="1" applyFill="1" applyAlignment="1">
      <alignment vertical="center"/>
    </xf>
    <xf numFmtId="0" fontId="8" fillId="0" borderId="0" xfId="0" applyFont="1" applyAlignment="1">
      <alignment horizontal="left"/>
    </xf>
    <xf numFmtId="181" fontId="1" fillId="3" borderId="8" xfId="1" applyNumberFormat="1" applyFont="1" applyFill="1" applyBorder="1" applyAlignment="1">
      <alignment vertical="center"/>
    </xf>
    <xf numFmtId="176" fontId="3" fillId="0" borderId="8" xfId="1" applyNumberFormat="1" applyFont="1" applyFill="1" applyBorder="1" applyAlignment="1">
      <alignment vertical="center"/>
    </xf>
    <xf numFmtId="176" fontId="3" fillId="0" borderId="0" xfId="1" applyNumberFormat="1" applyFont="1" applyFill="1" applyBorder="1" applyAlignment="1">
      <alignment vertical="center"/>
    </xf>
    <xf numFmtId="0" fontId="1" fillId="9" borderId="0" xfId="0" applyFont="1" applyFill="1">
      <alignment vertical="center"/>
    </xf>
    <xf numFmtId="181" fontId="18" fillId="0" borderId="0" xfId="1" applyNumberFormat="1" applyFont="1" applyAlignment="1">
      <alignment horizontal="right" vertical="center"/>
    </xf>
    <xf numFmtId="181" fontId="1" fillId="0" borderId="0" xfId="1" applyNumberFormat="1" applyFont="1" applyAlignment="1">
      <alignment horizontal="right" vertical="center"/>
    </xf>
    <xf numFmtId="176" fontId="19" fillId="0" borderId="0" xfId="1" applyNumberFormat="1" applyFont="1" applyBorder="1" applyAlignment="1">
      <alignment vertical="center"/>
    </xf>
    <xf numFmtId="181" fontId="3" fillId="3" borderId="5" xfId="1" applyNumberFormat="1" applyFont="1" applyFill="1" applyBorder="1" applyAlignment="1">
      <alignment vertical="center"/>
    </xf>
    <xf numFmtId="4" fontId="0" fillId="0" borderId="0" xfId="0" applyNumberFormat="1" applyAlignment="1">
      <alignment horizontal="right"/>
    </xf>
    <xf numFmtId="0" fontId="28" fillId="0" borderId="8" xfId="0" applyFont="1" applyBorder="1">
      <alignment vertical="center"/>
    </xf>
    <xf numFmtId="4" fontId="29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181" fontId="41" fillId="0" borderId="0" xfId="1" applyNumberFormat="1" applyFont="1" applyAlignment="1">
      <alignment vertical="center"/>
    </xf>
    <xf numFmtId="0" fontId="41" fillId="0" borderId="0" xfId="0" applyFont="1">
      <alignment vertical="center"/>
    </xf>
    <xf numFmtId="176" fontId="33" fillId="0" borderId="0" xfId="0" applyNumberFormat="1" applyFont="1">
      <alignment vertical="center"/>
    </xf>
    <xf numFmtId="176" fontId="41" fillId="0" borderId="0" xfId="0" applyNumberFormat="1" applyFont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16" xfId="0" applyBorder="1">
      <alignment vertical="center"/>
    </xf>
    <xf numFmtId="0" fontId="0" fillId="0" borderId="4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42" fillId="0" borderId="0" xfId="0" applyFont="1">
      <alignment vertical="center"/>
    </xf>
    <xf numFmtId="188" fontId="42" fillId="0" borderId="0" xfId="0" applyNumberFormat="1" applyFont="1">
      <alignment vertical="center"/>
    </xf>
    <xf numFmtId="189" fontId="43" fillId="10" borderId="0" xfId="0" applyNumberFormat="1" applyFont="1" applyFill="1">
      <alignment vertical="center"/>
    </xf>
    <xf numFmtId="189" fontId="44" fillId="10" borderId="0" xfId="0" applyNumberFormat="1" applyFont="1" applyFill="1">
      <alignment vertical="center"/>
    </xf>
    <xf numFmtId="189" fontId="48" fillId="10" borderId="0" xfId="0" applyNumberFormat="1" applyFont="1" applyFill="1">
      <alignment vertical="center"/>
    </xf>
    <xf numFmtId="188" fontId="45" fillId="0" borderId="0" xfId="0" applyNumberFormat="1" applyFont="1">
      <alignment vertical="center"/>
    </xf>
    <xf numFmtId="188" fontId="46" fillId="0" borderId="0" xfId="0" applyNumberFormat="1" applyFont="1">
      <alignment vertical="center"/>
    </xf>
    <xf numFmtId="190" fontId="46" fillId="0" borderId="0" xfId="0" applyNumberFormat="1" applyFont="1" applyAlignment="1">
      <alignment horizontal="center" vertical="center"/>
    </xf>
    <xf numFmtId="191" fontId="46" fillId="11" borderId="0" xfId="0" applyNumberFormat="1" applyFont="1" applyFill="1" applyAlignment="1">
      <alignment horizontal="center" vertical="center"/>
    </xf>
    <xf numFmtId="189" fontId="46" fillId="0" borderId="0" xfId="0" applyNumberFormat="1" applyFont="1">
      <alignment vertical="center"/>
    </xf>
    <xf numFmtId="0" fontId="46" fillId="0" borderId="0" xfId="0" applyFont="1">
      <alignment vertical="center"/>
    </xf>
    <xf numFmtId="189" fontId="42" fillId="0" borderId="0" xfId="0" applyNumberFormat="1" applyFont="1">
      <alignment vertical="center"/>
    </xf>
    <xf numFmtId="189" fontId="47" fillId="0" borderId="0" xfId="0" applyNumberFormat="1" applyFont="1" applyAlignment="1">
      <alignment horizontal="center" vertical="center"/>
    </xf>
    <xf numFmtId="189" fontId="42" fillId="0" borderId="0" xfId="0" applyNumberFormat="1" applyFont="1" applyAlignment="1">
      <alignment horizontal="center" vertical="center"/>
    </xf>
    <xf numFmtId="188" fontId="42" fillId="0" borderId="0" xfId="0" applyNumberFormat="1" applyFont="1" applyAlignment="1">
      <alignment horizontal="right" vertical="center"/>
    </xf>
    <xf numFmtId="182" fontId="47" fillId="0" borderId="0" xfId="0" applyNumberFormat="1" applyFont="1">
      <alignment vertical="center"/>
    </xf>
    <xf numFmtId="182" fontId="46" fillId="0" borderId="0" xfId="0" applyNumberFormat="1" applyFont="1">
      <alignment vertical="center"/>
    </xf>
    <xf numFmtId="182" fontId="42" fillId="0" borderId="0" xfId="0" applyNumberFormat="1" applyFont="1">
      <alignment vertical="center"/>
    </xf>
    <xf numFmtId="182" fontId="46" fillId="0" borderId="0" xfId="0" quotePrefix="1" applyNumberFormat="1" applyFont="1">
      <alignment vertical="center"/>
    </xf>
  </cellXfs>
  <cellStyles count="8">
    <cellStyle name="百分比" xfId="2" builtinId="5"/>
    <cellStyle name="百分比 2" xfId="3" xr:uid="{00000000-0005-0000-0000-000031000000}"/>
    <cellStyle name="百分比 3 2" xfId="4" xr:uid="{00000000-0005-0000-0000-000032000000}"/>
    <cellStyle name="常规" xfId="0" builtinId="0"/>
    <cellStyle name="常规 2" xfId="5" xr:uid="{00000000-0005-0000-0000-000033000000}"/>
    <cellStyle name="常规 3 2" xfId="6" xr:uid="{00000000-0005-0000-0000-000034000000}"/>
    <cellStyle name="千位分隔" xfId="1" builtinId="3"/>
    <cellStyle name="千位分隔 2" xfId="7" xr:uid="{00000000-0005-0000-0000-000035000000}"/>
  </cellStyles>
  <dxfs count="0"/>
  <tableStyles count="0" defaultTableStyle="TableStyleMedium2" defaultPivotStyle="PivotStyleLight16"/>
  <colors>
    <mruColors>
      <color rgb="FF00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solidFill>
                  <a:schemeClr val="dk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每股价值估值分布（元）</a:t>
            </a:r>
            <a:endParaRPr lang="zh-CN" altLang="en-US" b="1">
              <a:solidFill>
                <a:schemeClr val="tx2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solidFill>
          <a:schemeClr val="lt1"/>
        </a:solidFill>
        <a:ln w="25400" cap="flat" cmpd="sng" algn="ctr">
          <a:solidFill>
            <a:schemeClr val="accent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估值结果汇总!$B$4:$B$9</c:f>
              <c:strCache>
                <c:ptCount val="6"/>
                <c:pt idx="0">
                  <c:v>FCFF</c:v>
                </c:pt>
                <c:pt idx="1">
                  <c:v>PS</c:v>
                </c:pt>
                <c:pt idx="2">
                  <c:v>PE</c:v>
                </c:pt>
                <c:pt idx="3">
                  <c:v>PB</c:v>
                </c:pt>
                <c:pt idx="4">
                  <c:v>PEG</c:v>
                </c:pt>
                <c:pt idx="5">
                  <c:v>EBITDA</c:v>
                </c:pt>
              </c:strCache>
            </c:strRef>
          </c:cat>
          <c:val>
            <c:numRef>
              <c:f>估值结果汇总!$D$4:$D$9</c:f>
              <c:numCache>
                <c:formatCode>#,##0.0_);\(#,##0.0\);"-"</c:formatCode>
                <c:ptCount val="6"/>
                <c:pt idx="0">
                  <c:v>86.467021893519103</c:v>
                </c:pt>
                <c:pt idx="1">
                  <c:v>18.635275101220905</c:v>
                </c:pt>
                <c:pt idx="2">
                  <c:v>38.671226636768459</c:v>
                </c:pt>
                <c:pt idx="3">
                  <c:v>37.79906822314782</c:v>
                </c:pt>
                <c:pt idx="4">
                  <c:v>4.0785927437431422</c:v>
                </c:pt>
                <c:pt idx="5">
                  <c:v>40.361592689082393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E-4A05-8893-1AAE87645368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估值结果汇总!$B$4:$B$9</c:f>
              <c:strCache>
                <c:ptCount val="6"/>
                <c:pt idx="0">
                  <c:v>FCFF</c:v>
                </c:pt>
                <c:pt idx="1">
                  <c:v>PS</c:v>
                </c:pt>
                <c:pt idx="2">
                  <c:v>PE</c:v>
                </c:pt>
                <c:pt idx="3">
                  <c:v>PB</c:v>
                </c:pt>
                <c:pt idx="4">
                  <c:v>PEG</c:v>
                </c:pt>
                <c:pt idx="5">
                  <c:v>EBITDA</c:v>
                </c:pt>
              </c:strCache>
            </c:strRef>
          </c:cat>
          <c:val>
            <c:numRef>
              <c:f>估值结果汇总!$I$4:$I$9</c:f>
              <c:numCache>
                <c:formatCode>#,##0.0_);\(#,##0.0\);"-"</c:formatCode>
                <c:ptCount val="6"/>
                <c:pt idx="0">
                  <c:v>39.492445379502897</c:v>
                </c:pt>
                <c:pt idx="1">
                  <c:v>172.38029596208091</c:v>
                </c:pt>
                <c:pt idx="2">
                  <c:v>108.58157612938476</c:v>
                </c:pt>
                <c:pt idx="3">
                  <c:v>135.67065905610272</c:v>
                </c:pt>
                <c:pt idx="4">
                  <c:v>145.686575173178</c:v>
                </c:pt>
                <c:pt idx="5">
                  <c:v>90.69358675765821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E-4A05-8893-1AAE87645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1904655"/>
        <c:axId val="881889263"/>
      </c:barChart>
      <c:catAx>
        <c:axId val="88190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1889263"/>
        <c:crosses val="autoZero"/>
        <c:auto val="1"/>
        <c:lblAlgn val="ctr"/>
        <c:lblOffset val="100"/>
        <c:noMultiLvlLbl val="0"/>
      </c:catAx>
      <c:valAx>
        <c:axId val="88188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\(#,##0.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190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e0aec5-7dfb-42ee-b5ac-2818e1aad402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11</xdr:row>
      <xdr:rowOff>31750</xdr:rowOff>
    </xdr:from>
    <xdr:to>
      <xdr:col>14</xdr:col>
      <xdr:colOff>514350</xdr:colOff>
      <xdr:row>22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6AD5941-CA9D-902F-54C5-D26B87BEFEA6}"/>
            </a:ext>
          </a:extLst>
        </xdr:cNvPr>
        <xdr:cNvSpPr/>
      </xdr:nvSpPr>
      <xdr:spPr>
        <a:xfrm>
          <a:off x="2368550" y="2197100"/>
          <a:ext cx="5969000" cy="2324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3000" i="0">
              <a:solidFill>
                <a:srgbClr val="FCFCFC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MIDEA</a:t>
          </a:r>
          <a:endParaRPr lang="zh-CN" altLang="en-US" sz="13000" i="0">
            <a:solidFill>
              <a:srgbClr val="FCFCFC"/>
            </a:solidFill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14</xdr:col>
      <xdr:colOff>304800</xdr:colOff>
      <xdr:row>21</xdr:row>
      <xdr:rowOff>95250</xdr:rowOff>
    </xdr:from>
    <xdr:to>
      <xdr:col>15</xdr:col>
      <xdr:colOff>106045</xdr:colOff>
      <xdr:row>23</xdr:row>
      <xdr:rowOff>60960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685D17B-4241-EC55-C254-C93EA41A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0" y="4229100"/>
          <a:ext cx="360045" cy="359410"/>
        </a:xfrm>
        <a:prstGeom prst="rect">
          <a:avLst/>
        </a:prstGeom>
      </xdr:spPr>
    </xdr:pic>
    <xdr:clientData/>
  </xdr:twoCellAnchor>
  <xdr:twoCellAnchor editAs="oneCell">
    <xdr:from>
      <xdr:col>15</xdr:col>
      <xdr:colOff>552450</xdr:colOff>
      <xdr:row>21</xdr:row>
      <xdr:rowOff>69850</xdr:rowOff>
    </xdr:from>
    <xdr:to>
      <xdr:col>16</xdr:col>
      <xdr:colOff>404495</xdr:colOff>
      <xdr:row>23</xdr:row>
      <xdr:rowOff>35560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CBCA612-F419-049C-8196-36C5A864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4203700"/>
          <a:ext cx="410845" cy="359410"/>
        </a:xfrm>
        <a:prstGeom prst="rect">
          <a:avLst/>
        </a:prstGeom>
      </xdr:spPr>
    </xdr:pic>
    <xdr:clientData/>
  </xdr:twoCellAnchor>
  <xdr:twoCellAnchor editAs="oneCell">
    <xdr:from>
      <xdr:col>17</xdr:col>
      <xdr:colOff>311150</xdr:colOff>
      <xdr:row>21</xdr:row>
      <xdr:rowOff>57150</xdr:rowOff>
    </xdr:from>
    <xdr:to>
      <xdr:col>18</xdr:col>
      <xdr:colOff>112395</xdr:colOff>
      <xdr:row>23</xdr:row>
      <xdr:rowOff>22860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1929F0A-240D-1728-382D-9406D5A2C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0" y="4191000"/>
          <a:ext cx="360045" cy="359410"/>
        </a:xfrm>
        <a:prstGeom prst="rect">
          <a:avLst/>
        </a:prstGeom>
      </xdr:spPr>
    </xdr:pic>
    <xdr:clientData/>
  </xdr:twoCellAnchor>
  <xdr:twoCellAnchor>
    <xdr:from>
      <xdr:col>6</xdr:col>
      <xdr:colOff>314333</xdr:colOff>
      <xdr:row>4</xdr:row>
      <xdr:rowOff>12701</xdr:rowOff>
    </xdr:from>
    <xdr:to>
      <xdr:col>18</xdr:col>
      <xdr:colOff>516890</xdr:colOff>
      <xdr:row>6</xdr:row>
      <xdr:rowOff>180892</xdr:rowOff>
    </xdr:to>
    <xdr:sp macro="" textlink="">
      <xdr:nvSpPr>
        <xdr:cNvPr id="7" name="文本框 5">
          <a:extLst>
            <a:ext uri="{FF2B5EF4-FFF2-40B4-BE49-F238E27FC236}">
              <a16:creationId xmlns:a16="http://schemas.microsoft.com/office/drawing/2014/main" id="{E8EB50D8-1CEC-76E0-5D2C-CF05A0A744D7}"/>
            </a:ext>
          </a:extLst>
        </xdr:cNvPr>
        <xdr:cNvSpPr txBox="1"/>
      </xdr:nvSpPr>
      <xdr:spPr>
        <a:xfrm>
          <a:off x="3667133" y="800101"/>
          <a:ext cx="6908157" cy="561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72000" bIns="0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zh-CN" altLang="en-US" sz="3200" b="1" spc="400" baseline="0">
              <a:solidFill>
                <a:schemeClr val="bg2"/>
              </a:solidFill>
            </a:rPr>
            <a:t>美的财务预测与估值模型</a:t>
          </a:r>
        </a:p>
      </xdr:txBody>
    </xdr:sp>
    <xdr:clientData/>
  </xdr:twoCellAnchor>
  <xdr:twoCellAnchor>
    <xdr:from>
      <xdr:col>6</xdr:col>
      <xdr:colOff>82550</xdr:colOff>
      <xdr:row>6</xdr:row>
      <xdr:rowOff>150963</xdr:rowOff>
    </xdr:from>
    <xdr:to>
      <xdr:col>18</xdr:col>
      <xdr:colOff>305956</xdr:colOff>
      <xdr:row>13</xdr:row>
      <xdr:rowOff>85642</xdr:rowOff>
    </xdr:to>
    <xdr:sp macro="" textlink="">
      <xdr:nvSpPr>
        <xdr:cNvPr id="10" name="文本框 6">
          <a:extLst>
            <a:ext uri="{FF2B5EF4-FFF2-40B4-BE49-F238E27FC236}">
              <a16:creationId xmlns:a16="http://schemas.microsoft.com/office/drawing/2014/main" id="{C93D0157-61B6-495F-F705-1EEB33FA8423}"/>
            </a:ext>
          </a:extLst>
        </xdr:cNvPr>
        <xdr:cNvSpPr txBox="1"/>
      </xdr:nvSpPr>
      <xdr:spPr>
        <a:xfrm>
          <a:off x="3435350" y="1332063"/>
          <a:ext cx="6929006" cy="1312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72000" bIns="0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ct val="80000"/>
            </a:lnSpc>
          </a:pPr>
          <a:r>
            <a:rPr lang="en-US" altLang="zh-CN" sz="2800" baseline="0">
              <a:solidFill>
                <a:srgbClr val="00B050"/>
              </a:solidFill>
              <a:latin typeface="+mn-ea"/>
              <a:ea typeface="+mn-ea"/>
            </a:rPr>
            <a:t>Midea Group</a:t>
          </a:r>
          <a:br>
            <a:rPr lang="en-US" altLang="zh-CN" sz="2800" baseline="0">
              <a:solidFill>
                <a:srgbClr val="00B050"/>
              </a:solidFill>
              <a:latin typeface="+mn-ea"/>
              <a:ea typeface="+mn-ea"/>
            </a:rPr>
          </a:br>
          <a:r>
            <a:rPr lang="en-US" altLang="zh-CN" sz="2800">
              <a:solidFill>
                <a:srgbClr val="00B050"/>
              </a:solidFill>
              <a:latin typeface="+mn-ea"/>
              <a:ea typeface="+mn-ea"/>
            </a:rPr>
            <a:t>Financial</a:t>
          </a:r>
          <a:r>
            <a:rPr lang="en-US" altLang="zh-CN" sz="2800" baseline="0">
              <a:solidFill>
                <a:srgbClr val="00B050"/>
              </a:solidFill>
              <a:latin typeface="+mn-ea"/>
              <a:ea typeface="+mn-ea"/>
            </a:rPr>
            <a:t> Projection and Valuation Model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10</xdr:row>
      <xdr:rowOff>146957</xdr:rowOff>
    </xdr:from>
    <xdr:to>
      <xdr:col>10</xdr:col>
      <xdr:colOff>446315</xdr:colOff>
      <xdr:row>30</xdr:row>
      <xdr:rowOff>65314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MBI">
  <a:themeElements>
    <a:clrScheme name="自定义 1">
      <a:dk1>
        <a:srgbClr val="000000"/>
      </a:dk1>
      <a:lt1>
        <a:srgbClr val="FFFFFF"/>
      </a:lt1>
      <a:dk2>
        <a:srgbClr val="9D1E23"/>
      </a:dk2>
      <a:lt2>
        <a:srgbClr val="0D96FF"/>
      </a:lt2>
      <a:accent1>
        <a:srgbClr val="E2D1D1"/>
      </a:accent1>
      <a:accent2>
        <a:srgbClr val="FBC5C3"/>
      </a:accent2>
      <a:accent3>
        <a:srgbClr val="E8888D"/>
      </a:accent3>
      <a:accent4>
        <a:srgbClr val="D93A25"/>
      </a:accent4>
      <a:accent5>
        <a:srgbClr val="9D1E23"/>
      </a:accent5>
      <a:accent6>
        <a:srgbClr val="FFFFFF"/>
      </a:accent6>
      <a:hlink>
        <a:srgbClr val="406E91"/>
      </a:hlink>
      <a:folHlink>
        <a:srgbClr val="003D6C"/>
      </a:folHlink>
    </a:clrScheme>
    <a:fontScheme name="自定义 1">
      <a:majorFont>
        <a:latin typeface="Arial"/>
        <a:ea typeface="华文楷体"/>
        <a:cs typeface=""/>
      </a:majorFont>
      <a:minorFont>
        <a:latin typeface="Arial"/>
        <a:ea typeface="华文楷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80B54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8575"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 vert="horz" wrap="square" lIns="91440" tIns="45720" rIns="91440" bIns="45720" rtlCol="0">
        <a:noAutofit/>
      </a:bodyPr>
      <a:lstStyle>
        <a:defPPr marL="180975" indent="-180975">
          <a:buClr>
            <a:schemeClr val="tx2"/>
          </a:buClr>
          <a:buFont typeface="Arial" panose="020B0604020202020204" pitchFamily="7" charset="0"/>
          <a:buChar char="▪"/>
          <a:defRPr dirty="0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3A73-0341-42D0-9A12-DBCE55796711}">
  <dimension ref="B3:S25"/>
  <sheetViews>
    <sheetView showGridLines="0" tabSelected="1" topLeftCell="A2" workbookViewId="0">
      <selection activeCell="A2" sqref="A2"/>
    </sheetView>
  </sheetViews>
  <sheetFormatPr defaultRowHeight="15.5"/>
  <sheetData>
    <row r="3" spans="2:19"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2"/>
    </row>
    <row r="4" spans="2:19">
      <c r="B4" s="183"/>
      <c r="S4" s="184"/>
    </row>
    <row r="5" spans="2:19">
      <c r="B5" s="183"/>
      <c r="S5" s="184"/>
    </row>
    <row r="6" spans="2:19">
      <c r="B6" s="183"/>
      <c r="S6" s="184"/>
    </row>
    <row r="7" spans="2:19">
      <c r="B7" s="183"/>
      <c r="S7" s="184"/>
    </row>
    <row r="8" spans="2:19">
      <c r="B8" s="183"/>
      <c r="S8" s="184"/>
    </row>
    <row r="9" spans="2:19">
      <c r="B9" s="183"/>
      <c r="S9" s="184"/>
    </row>
    <row r="10" spans="2:19">
      <c r="B10" s="183"/>
      <c r="S10" s="184"/>
    </row>
    <row r="11" spans="2:19">
      <c r="B11" s="183"/>
      <c r="S11" s="184"/>
    </row>
    <row r="12" spans="2:19">
      <c r="B12" s="183"/>
      <c r="S12" s="184"/>
    </row>
    <row r="13" spans="2:19">
      <c r="B13" s="183"/>
      <c r="S13" s="184"/>
    </row>
    <row r="14" spans="2:19">
      <c r="B14" s="183"/>
      <c r="S14" s="184"/>
    </row>
    <row r="15" spans="2:19">
      <c r="B15" s="183"/>
      <c r="S15" s="184"/>
    </row>
    <row r="16" spans="2:19">
      <c r="B16" s="183"/>
      <c r="S16" s="184"/>
    </row>
    <row r="17" spans="2:19">
      <c r="B17" s="183"/>
      <c r="S17" s="184"/>
    </row>
    <row r="18" spans="2:19">
      <c r="B18" s="183"/>
      <c r="S18" s="184"/>
    </row>
    <row r="19" spans="2:19">
      <c r="B19" s="183"/>
      <c r="S19" s="184"/>
    </row>
    <row r="20" spans="2:19">
      <c r="B20" s="183"/>
      <c r="S20" s="184"/>
    </row>
    <row r="21" spans="2:19">
      <c r="B21" s="183"/>
      <c r="S21" s="184"/>
    </row>
    <row r="22" spans="2:19">
      <c r="B22" s="183"/>
      <c r="S22" s="184"/>
    </row>
    <row r="23" spans="2:19">
      <c r="B23" s="183"/>
      <c r="S23" s="184"/>
    </row>
    <row r="24" spans="2:19">
      <c r="B24" s="183"/>
      <c r="S24" s="184"/>
    </row>
    <row r="25" spans="2:19">
      <c r="B25" s="185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7"/>
    </row>
  </sheetData>
  <phoneticPr fontId="4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042-1318-489D-AD64-929B3DF6D02E}">
  <dimension ref="A1:P56"/>
  <sheetViews>
    <sheetView zoomScale="126" workbookViewId="0"/>
  </sheetViews>
  <sheetFormatPr defaultColWidth="0" defaultRowHeight="15.5"/>
  <cols>
    <col min="1" max="1" width="8.796875" customWidth="1"/>
    <col min="2" max="2" width="20.5" customWidth="1"/>
    <col min="3" max="3" width="10.5" bestFit="1" customWidth="1"/>
    <col min="4" max="11" width="8.796875" customWidth="1"/>
    <col min="12" max="16" width="0" hidden="1" customWidth="1"/>
    <col min="17" max="16384" width="8.796875" hidden="1"/>
  </cols>
  <sheetData>
    <row r="1" spans="1:11" ht="19">
      <c r="A1" s="190" t="s">
        <v>533</v>
      </c>
      <c r="B1" s="191"/>
      <c r="C1" s="191"/>
      <c r="D1" s="191"/>
      <c r="E1" s="191"/>
      <c r="F1" s="192"/>
      <c r="G1" s="191"/>
      <c r="H1" s="191"/>
      <c r="I1" s="191"/>
      <c r="J1" s="191"/>
      <c r="K1" s="191"/>
    </row>
    <row r="2" spans="1:11">
      <c r="A2" s="189"/>
      <c r="B2" s="193" t="s">
        <v>495</v>
      </c>
      <c r="C2" s="189"/>
      <c r="D2" s="189"/>
      <c r="E2" s="189"/>
      <c r="F2" s="189"/>
      <c r="G2" s="194" t="s">
        <v>496</v>
      </c>
      <c r="H2" s="189"/>
      <c r="I2" s="189"/>
      <c r="J2" s="189"/>
      <c r="K2" s="189"/>
    </row>
    <row r="3" spans="1:11">
      <c r="A3" s="189"/>
      <c r="B3" s="189" t="s">
        <v>497</v>
      </c>
      <c r="C3" s="195">
        <v>43100</v>
      </c>
      <c r="D3" s="195">
        <v>44561</v>
      </c>
      <c r="E3" s="195">
        <v>44926</v>
      </c>
      <c r="F3" s="195">
        <v>45291</v>
      </c>
      <c r="G3" s="196">
        <v>45657</v>
      </c>
      <c r="H3" s="196">
        <v>46022</v>
      </c>
      <c r="I3" s="196">
        <v>46387</v>
      </c>
      <c r="J3" s="196">
        <v>46752</v>
      </c>
      <c r="K3" s="196">
        <v>47118</v>
      </c>
    </row>
    <row r="4" spans="1:1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</row>
    <row r="5" spans="1:11">
      <c r="A5" s="197" t="s">
        <v>498</v>
      </c>
      <c r="B5" s="188"/>
      <c r="C5" s="188"/>
      <c r="D5" s="189"/>
      <c r="E5" s="189"/>
      <c r="F5" s="189"/>
      <c r="G5" s="189"/>
      <c r="H5" s="189"/>
      <c r="I5" s="189"/>
      <c r="J5" s="189"/>
      <c r="K5" s="189"/>
    </row>
    <row r="6" spans="1:11">
      <c r="A6" s="198"/>
      <c r="B6" s="199" t="s">
        <v>499</v>
      </c>
      <c r="C6" s="200" t="s">
        <v>527</v>
      </c>
      <c r="D6" s="189"/>
      <c r="E6" s="189"/>
      <c r="F6" s="189"/>
      <c r="G6" s="189"/>
      <c r="H6" s="189"/>
      <c r="I6" s="189"/>
      <c r="J6" s="189"/>
      <c r="K6" s="189"/>
    </row>
    <row r="7" spans="1:11">
      <c r="A7" s="198"/>
      <c r="B7" s="199" t="s">
        <v>500</v>
      </c>
      <c r="C7" s="201" t="s">
        <v>528</v>
      </c>
      <c r="D7" s="189"/>
      <c r="E7" s="189"/>
      <c r="F7" s="189"/>
      <c r="G7" s="189"/>
      <c r="H7" s="189"/>
      <c r="I7" s="189"/>
      <c r="J7" s="189"/>
      <c r="K7" s="189"/>
    </row>
    <row r="8" spans="1:11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189"/>
    </row>
    <row r="9" spans="1:11">
      <c r="A9" s="194" t="s">
        <v>501</v>
      </c>
      <c r="B9" s="189"/>
      <c r="C9" s="202" t="s">
        <v>502</v>
      </c>
      <c r="D9" s="189"/>
      <c r="E9" s="189"/>
      <c r="F9" s="189"/>
      <c r="G9" s="189"/>
      <c r="H9" s="189"/>
      <c r="I9" s="189"/>
      <c r="J9" s="189"/>
      <c r="K9" s="189"/>
    </row>
    <row r="10" spans="1:11">
      <c r="A10" s="189"/>
      <c r="B10" s="189" t="s">
        <v>503</v>
      </c>
      <c r="C10" s="203">
        <f>FCFF估值!C82</f>
        <v>8.0252681426692007E-2</v>
      </c>
      <c r="D10" s="189"/>
      <c r="E10" s="189"/>
      <c r="F10" s="189"/>
      <c r="G10" s="189"/>
      <c r="H10" s="189"/>
      <c r="I10" s="189"/>
      <c r="J10" s="189"/>
      <c r="K10" s="189"/>
    </row>
    <row r="11" spans="1:11">
      <c r="A11" s="189"/>
      <c r="B11" s="189" t="s">
        <v>504</v>
      </c>
      <c r="C11" s="203">
        <f>FCFF估值!Q36</f>
        <v>0.02</v>
      </c>
      <c r="D11" s="189"/>
      <c r="E11" s="189"/>
      <c r="F11" s="189"/>
      <c r="G11" s="189"/>
      <c r="H11" s="189"/>
      <c r="I11" s="189"/>
      <c r="J11" s="189"/>
      <c r="K11" s="189"/>
    </row>
    <row r="12" spans="1:11">
      <c r="A12" s="189"/>
      <c r="B12" s="194" t="s">
        <v>505</v>
      </c>
      <c r="C12" s="197">
        <v>88.8</v>
      </c>
      <c r="D12" s="189"/>
      <c r="E12" s="189"/>
      <c r="F12" s="189"/>
      <c r="G12" s="189"/>
      <c r="H12" s="189"/>
      <c r="I12" s="189"/>
      <c r="J12" s="189"/>
      <c r="K12" s="189"/>
    </row>
    <row r="13" spans="1:11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</row>
    <row r="14" spans="1:11">
      <c r="A14" s="194" t="s">
        <v>506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</row>
    <row r="15" spans="1:11">
      <c r="A15" s="194"/>
      <c r="B15" s="194" t="s">
        <v>507</v>
      </c>
      <c r="C15" s="194"/>
      <c r="D15" s="194">
        <f>收入拆分!C4</f>
        <v>312259.83438000001</v>
      </c>
      <c r="E15" s="194">
        <f>收入拆分!D4</f>
        <v>320233.60830999998</v>
      </c>
      <c r="F15" s="194">
        <f>收入拆分!E4</f>
        <v>348772.96856000001</v>
      </c>
      <c r="G15" s="194">
        <f>收入拆分!F4</f>
        <v>365795.05666835897</v>
      </c>
      <c r="H15" s="194">
        <f>收入拆分!G4</f>
        <v>386400.83969523897</v>
      </c>
      <c r="I15" s="194">
        <f>收入拆分!H4</f>
        <v>411412.62362498802</v>
      </c>
      <c r="J15" s="194">
        <f>收入拆分!I4</f>
        <v>441862.50309122202</v>
      </c>
      <c r="K15" s="194">
        <f>收入拆分!J4</f>
        <v>479049.32381875801</v>
      </c>
    </row>
    <row r="16" spans="1:11">
      <c r="A16" s="189"/>
      <c r="B16" s="131" t="s">
        <v>529</v>
      </c>
      <c r="C16" s="194"/>
      <c r="D16" s="189">
        <f>收入拆分!C10</f>
        <v>234918</v>
      </c>
      <c r="E16" s="189">
        <f>收入拆分!D10</f>
        <v>232825</v>
      </c>
      <c r="F16" s="189">
        <f>收入拆分!E10</f>
        <v>246351</v>
      </c>
      <c r="G16" s="189">
        <f>收入拆分!F10</f>
        <v>246351</v>
      </c>
      <c r="H16" s="189">
        <f>收入拆分!G10</f>
        <v>246351</v>
      </c>
      <c r="I16" s="189">
        <f>收入拆分!H10</f>
        <v>246351</v>
      </c>
      <c r="J16" s="189">
        <f>收入拆分!I10</f>
        <v>246351</v>
      </c>
      <c r="K16" s="189">
        <f>收入拆分!J10</f>
        <v>246351</v>
      </c>
    </row>
    <row r="17" spans="1:11">
      <c r="A17" s="189"/>
      <c r="B17" s="133" t="s">
        <v>530</v>
      </c>
      <c r="C17" s="194"/>
      <c r="D17" s="189">
        <f>收入拆分!C16</f>
        <v>73379</v>
      </c>
      <c r="E17" s="189">
        <f>收入拆分!D16</f>
        <v>83639</v>
      </c>
      <c r="F17" s="189">
        <f>收入拆分!E16</f>
        <v>97781</v>
      </c>
      <c r="G17" s="189">
        <f>收入拆分!F16</f>
        <v>114803.08810835901</v>
      </c>
      <c r="H17" s="189">
        <f>收入拆分!G16</f>
        <v>135362.461449639</v>
      </c>
      <c r="I17" s="189">
        <f>收入拆分!H16</f>
        <v>160280.497814476</v>
      </c>
      <c r="J17" s="189">
        <f>收入拆分!I16</f>
        <v>190586.94350639501</v>
      </c>
      <c r="K17" s="189">
        <f>收入拆分!J16</f>
        <v>227576.78185053699</v>
      </c>
    </row>
    <row r="18" spans="1:11">
      <c r="A18" s="189"/>
      <c r="B18" s="133" t="s">
        <v>531</v>
      </c>
      <c r="C18" s="194"/>
      <c r="D18" s="189">
        <f>收入拆分!C22</f>
        <v>3962.8343799999998</v>
      </c>
      <c r="E18" s="189">
        <f>收入拆分!D22</f>
        <v>3769.6083100000001</v>
      </c>
      <c r="F18" s="189">
        <f>收入拆分!E22</f>
        <v>4640.9685600000003</v>
      </c>
      <c r="G18" s="189">
        <f>收入拆分!F22</f>
        <v>4640.9685600000003</v>
      </c>
      <c r="H18" s="189">
        <f>收入拆分!G22</f>
        <v>4687.3782455999999</v>
      </c>
      <c r="I18" s="189">
        <f>收入拆分!H22</f>
        <v>4781.1258105119996</v>
      </c>
      <c r="J18" s="189">
        <f>收入拆分!I22</f>
        <v>4924.5595848273597</v>
      </c>
      <c r="K18" s="189">
        <f>收入拆分!J22</f>
        <v>5121.5419682204501</v>
      </c>
    </row>
    <row r="19" spans="1:11">
      <c r="A19" s="189"/>
      <c r="B19" s="189"/>
      <c r="C19" s="194"/>
      <c r="D19" s="189"/>
      <c r="E19" s="189"/>
      <c r="F19" s="189"/>
      <c r="G19" s="189"/>
      <c r="H19" s="189"/>
      <c r="I19" s="189"/>
      <c r="J19" s="189"/>
      <c r="K19" s="189"/>
    </row>
    <row r="20" spans="1:11">
      <c r="A20" s="189"/>
      <c r="B20" s="194" t="s">
        <v>508</v>
      </c>
      <c r="C20" s="194"/>
      <c r="D20" s="189"/>
      <c r="E20" s="189"/>
      <c r="F20" s="189"/>
      <c r="G20" s="189"/>
      <c r="H20" s="189"/>
      <c r="I20" s="189"/>
      <c r="J20" s="189"/>
      <c r="K20" s="189"/>
    </row>
    <row r="21" spans="1:11">
      <c r="A21" s="189"/>
      <c r="B21" s="194" t="s">
        <v>507</v>
      </c>
      <c r="C21" s="194"/>
      <c r="D21" s="206" t="s">
        <v>532</v>
      </c>
      <c r="E21" s="206">
        <f>收入拆分!D5</f>
        <v>2.5535701528286901E-2</v>
      </c>
      <c r="F21" s="206">
        <f>收入拆分!E5</f>
        <v>8.9120440545305699E-2</v>
      </c>
      <c r="G21" s="206">
        <f>收入拆分!F5</f>
        <v>4.8805640467604702E-2</v>
      </c>
      <c r="H21" s="206">
        <f>收入拆分!G5</f>
        <v>5.6331496698060098E-2</v>
      </c>
      <c r="I21" s="206">
        <f>收入拆分!H5</f>
        <v>6.47301490066019E-2</v>
      </c>
      <c r="J21" s="206">
        <f>收入拆分!I5</f>
        <v>7.4012992595944696E-2</v>
      </c>
      <c r="K21" s="206">
        <f>收入拆分!J5</f>
        <v>8.4159258745379897E-2</v>
      </c>
    </row>
    <row r="22" spans="1:11">
      <c r="A22" s="189"/>
      <c r="B22" s="131" t="s">
        <v>529</v>
      </c>
      <c r="C22" s="194"/>
      <c r="D22" s="206" t="s">
        <v>532</v>
      </c>
      <c r="E22" s="206">
        <f>收入拆分!D11</f>
        <v>-8.9094918226785298E-3</v>
      </c>
      <c r="F22" s="206">
        <f>收入拆分!E11</f>
        <v>2.4044943286829299E-2</v>
      </c>
      <c r="G22" s="206">
        <f>收入拆分!F11</f>
        <v>0</v>
      </c>
      <c r="H22" s="206">
        <f>收入拆分!G11</f>
        <v>0</v>
      </c>
      <c r="I22" s="206">
        <f>收入拆分!H11</f>
        <v>0</v>
      </c>
      <c r="J22" s="206">
        <f>收入拆分!I11</f>
        <v>0</v>
      </c>
      <c r="K22" s="206">
        <f>收入拆分!J11</f>
        <v>0</v>
      </c>
    </row>
    <row r="23" spans="1:11">
      <c r="A23" s="189"/>
      <c r="B23" s="133" t="s">
        <v>530</v>
      </c>
      <c r="C23" s="194"/>
      <c r="D23" s="206" t="s">
        <v>532</v>
      </c>
      <c r="E23" s="206">
        <f>收入拆分!D17</f>
        <v>0.13982201992395599</v>
      </c>
      <c r="F23" s="206">
        <f>收入拆分!E17</f>
        <v>0.16908380061932801</v>
      </c>
      <c r="G23" s="206">
        <f>收入拆分!F17</f>
        <v>0.17408380061932799</v>
      </c>
      <c r="H23" s="206">
        <f>收入拆分!G17</f>
        <v>0.17908380061932799</v>
      </c>
      <c r="I23" s="206">
        <f>收入拆分!H17</f>
        <v>0.184083800619328</v>
      </c>
      <c r="J23" s="206">
        <f>收入拆分!I17</f>
        <v>0.189083800619328</v>
      </c>
      <c r="K23" s="206">
        <f>收入拆分!J17</f>
        <v>0.19408380061932801</v>
      </c>
    </row>
    <row r="24" spans="1:11">
      <c r="A24" s="189"/>
      <c r="B24" s="133" t="s">
        <v>531</v>
      </c>
      <c r="C24" s="194"/>
      <c r="D24" s="206" t="s">
        <v>532</v>
      </c>
      <c r="E24" s="206">
        <f>收入拆分!D23</f>
        <v>-4.8759562341336E-2</v>
      </c>
      <c r="F24" s="206">
        <f>收入拆分!E23</f>
        <v>0.23115405589712301</v>
      </c>
      <c r="G24" s="206">
        <f>收入拆分!F23</f>
        <v>0</v>
      </c>
      <c r="H24" s="206">
        <f>收入拆分!G23</f>
        <v>0.01</v>
      </c>
      <c r="I24" s="206">
        <f>收入拆分!H23</f>
        <v>0.02</v>
      </c>
      <c r="J24" s="206">
        <f>收入拆分!I23</f>
        <v>0.03</v>
      </c>
      <c r="K24" s="206">
        <f>收入拆分!J23</f>
        <v>0.04</v>
      </c>
    </row>
    <row r="25" spans="1:11">
      <c r="A25" s="189"/>
      <c r="B25" s="189"/>
      <c r="C25" s="194"/>
      <c r="D25" s="189"/>
      <c r="E25" s="189"/>
      <c r="F25" s="189"/>
      <c r="G25" s="189"/>
      <c r="H25" s="189"/>
      <c r="I25" s="189"/>
      <c r="J25" s="189"/>
      <c r="K25" s="189"/>
    </row>
    <row r="26" spans="1:11">
      <c r="A26" s="189"/>
      <c r="B26" s="194" t="s">
        <v>509</v>
      </c>
      <c r="C26" s="194"/>
      <c r="D26" s="189">
        <f>-收入拆分!C6</f>
        <v>237288.37028420001</v>
      </c>
      <c r="E26" s="189">
        <f>-收入拆分!D6</f>
        <v>239558.11873389999</v>
      </c>
      <c r="F26" s="189">
        <f>-收入拆分!E6</f>
        <v>252116.50730639999</v>
      </c>
      <c r="G26" s="189">
        <f>-收入拆分!F6</f>
        <v>264275.952326053</v>
      </c>
      <c r="H26" s="189">
        <f>-收入拆分!G6</f>
        <v>279502.99892133701</v>
      </c>
      <c r="I26" s="189">
        <f>-收入拆分!H6</f>
        <v>297878.41614388401</v>
      </c>
      <c r="J26" s="189">
        <f>-收入拆分!I6</f>
        <v>320117.96234787197</v>
      </c>
      <c r="K26" s="189">
        <f>-收入拆分!J6</f>
        <v>347117.30390967597</v>
      </c>
    </row>
    <row r="27" spans="1:11">
      <c r="A27" s="189"/>
      <c r="B27" s="194"/>
      <c r="C27" s="194"/>
      <c r="D27" s="189"/>
      <c r="E27" s="189"/>
      <c r="F27" s="189"/>
      <c r="G27" s="189"/>
      <c r="H27" s="189"/>
      <c r="I27" s="189"/>
      <c r="J27" s="189"/>
      <c r="K27" s="189"/>
    </row>
    <row r="28" spans="1:11">
      <c r="A28" s="189"/>
      <c r="B28" s="194" t="s">
        <v>510</v>
      </c>
      <c r="C28" s="194"/>
      <c r="D28" s="204">
        <f>收入拆分!C7</f>
        <v>0.240093203932737</v>
      </c>
      <c r="E28" s="204">
        <f>收入拆分!D7</f>
        <v>0.251926991679158</v>
      </c>
      <c r="F28" s="204">
        <f>收入拆分!E7</f>
        <v>0.277132891498649</v>
      </c>
      <c r="G28" s="204">
        <f>收入拆分!F7</f>
        <v>0.27753000619236401</v>
      </c>
      <c r="H28" s="204">
        <f>收入拆分!G7</f>
        <v>0.27665012544541601</v>
      </c>
      <c r="I28" s="204">
        <f>收入拆分!H7</f>
        <v>0.27596189558002698</v>
      </c>
      <c r="J28" s="204">
        <f>收入拆分!I7</f>
        <v>0.27552584772783101</v>
      </c>
      <c r="K28" s="204">
        <f>收入拆分!J7</f>
        <v>0.27540383286084402</v>
      </c>
    </row>
    <row r="29" spans="1:11">
      <c r="A29" s="189"/>
      <c r="B29" s="131" t="s">
        <v>529</v>
      </c>
      <c r="C29" s="194"/>
      <c r="D29" s="205">
        <f>收入拆分!C13</f>
        <v>0.251</v>
      </c>
      <c r="E29" s="205">
        <f>收入拆分!D13</f>
        <v>0.27</v>
      </c>
      <c r="F29" s="205">
        <f>收入拆分!E13</f>
        <v>0.29799999999999999</v>
      </c>
      <c r="G29" s="205">
        <f>收入拆分!F13</f>
        <v>0.3</v>
      </c>
      <c r="H29" s="205">
        <f>收入拆分!G13</f>
        <v>0.3</v>
      </c>
      <c r="I29" s="205">
        <f>收入拆分!H13</f>
        <v>0.3</v>
      </c>
      <c r="J29" s="205">
        <f>收入拆分!I13</f>
        <v>0.3</v>
      </c>
      <c r="K29" s="205">
        <f>收入拆分!J13</f>
        <v>0.3</v>
      </c>
    </row>
    <row r="30" spans="1:11">
      <c r="A30" s="189"/>
      <c r="B30" s="133" t="s">
        <v>530</v>
      </c>
      <c r="C30" s="194"/>
      <c r="D30" s="205">
        <f>收入拆分!C19</f>
        <v>0.19600000000000001</v>
      </c>
      <c r="E30" s="205">
        <f>收入拆分!D19</f>
        <v>0.19900000000000001</v>
      </c>
      <c r="F30" s="205">
        <f>收入拆分!E19</f>
        <v>0.223</v>
      </c>
      <c r="G30" s="205">
        <f>收入拆分!F19</f>
        <v>0.22800000000000001</v>
      </c>
      <c r="H30" s="205">
        <f>收入拆分!G19</f>
        <v>0.23300000000000001</v>
      </c>
      <c r="I30" s="205">
        <f>收入拆分!H19</f>
        <v>0.23799999999999999</v>
      </c>
      <c r="J30" s="205">
        <f>收入拆分!I19</f>
        <v>0.24299999999999999</v>
      </c>
      <c r="K30" s="205">
        <f>收入拆分!J19</f>
        <v>0.248</v>
      </c>
    </row>
    <row r="31" spans="1:11">
      <c r="A31" s="189"/>
      <c r="B31" s="133" t="s">
        <v>531</v>
      </c>
      <c r="C31" s="194"/>
      <c r="D31" s="205">
        <f>收入拆分!C25</f>
        <v>0.41</v>
      </c>
      <c r="E31" s="205">
        <f>收入拆分!D25</f>
        <v>0.31</v>
      </c>
      <c r="F31" s="205">
        <f>收入拆分!E25</f>
        <v>0.31</v>
      </c>
      <c r="G31" s="205">
        <f>收入拆分!F25</f>
        <v>0.31</v>
      </c>
      <c r="H31" s="205">
        <f>收入拆分!G25</f>
        <v>0.31</v>
      </c>
      <c r="I31" s="205">
        <f>收入拆分!H25</f>
        <v>0.31</v>
      </c>
      <c r="J31" s="205">
        <f>收入拆分!I25</f>
        <v>0.31</v>
      </c>
      <c r="K31" s="205">
        <f>收入拆分!J25</f>
        <v>0.31</v>
      </c>
    </row>
    <row r="32" spans="1:11">
      <c r="A32" s="189"/>
      <c r="B32" s="189"/>
      <c r="C32" s="194"/>
      <c r="D32" s="189"/>
      <c r="E32" s="189"/>
      <c r="F32" s="189"/>
      <c r="G32" s="189"/>
      <c r="H32" s="189"/>
      <c r="I32" s="189"/>
      <c r="J32" s="189"/>
      <c r="K32" s="189"/>
    </row>
    <row r="33" spans="1:11">
      <c r="A33" s="189"/>
      <c r="B33" s="189" t="s">
        <v>511</v>
      </c>
      <c r="C33" s="194"/>
      <c r="D33" s="189">
        <f>-IS!C7</f>
        <v>28647.34</v>
      </c>
      <c r="E33" s="189">
        <f>-IS!D7</f>
        <v>28716.12</v>
      </c>
      <c r="F33" s="189">
        <f>-IS!E7</f>
        <v>34880.879999999997</v>
      </c>
      <c r="G33" s="189">
        <f>-IS!F7</f>
        <v>36975.212634611678</v>
      </c>
      <c r="H33" s="189">
        <f>-IS!G7</f>
        <v>39472.109719951579</v>
      </c>
      <c r="I33" s="189">
        <f>-IS!H7</f>
        <v>42467.973375859241</v>
      </c>
      <c r="J33" s="189">
        <f>-IS!I7</f>
        <v>46084.610294820923</v>
      </c>
      <c r="K33" s="189">
        <f>-IS!J7</f>
        <v>50476.357688674652</v>
      </c>
    </row>
    <row r="34" spans="1:11">
      <c r="A34" s="189"/>
      <c r="B34" s="189" t="s">
        <v>512</v>
      </c>
      <c r="C34" s="194"/>
      <c r="D34" s="205">
        <f>Assumptions!C16</f>
        <v>8.3432172504941809E-2</v>
      </c>
      <c r="E34" s="205">
        <f>Assumptions!D16</f>
        <v>8.3064496697233911E-2</v>
      </c>
      <c r="F34" s="205">
        <f>Assumptions!E16</f>
        <v>9.3336808400528964E-2</v>
      </c>
      <c r="G34" s="205">
        <f>Assumptions!F16</f>
        <v>9.4336808400528965E-2</v>
      </c>
      <c r="H34" s="205">
        <f>Assumptions!G16</f>
        <v>9.5336808400528966E-2</v>
      </c>
      <c r="I34" s="205">
        <f>Assumptions!H16</f>
        <v>9.6336808400528967E-2</v>
      </c>
      <c r="J34" s="205">
        <f>Assumptions!I16</f>
        <v>9.7336808400528968E-2</v>
      </c>
      <c r="K34" s="205">
        <f>Assumptions!J16</f>
        <v>9.8336808400528969E-2</v>
      </c>
    </row>
    <row r="35" spans="1:11">
      <c r="A35" s="189"/>
      <c r="B35" s="189"/>
      <c r="C35" s="194"/>
      <c r="D35" s="189"/>
      <c r="E35" s="189"/>
      <c r="F35" s="189"/>
      <c r="G35" s="189"/>
      <c r="H35" s="189"/>
      <c r="I35" s="189"/>
      <c r="J35" s="189"/>
      <c r="K35" s="189"/>
    </row>
    <row r="36" spans="1:11">
      <c r="A36" s="189"/>
      <c r="B36" s="189" t="s">
        <v>513</v>
      </c>
      <c r="C36" s="194"/>
      <c r="D36" s="189">
        <f>-IS!C8</f>
        <v>10266.280000000001</v>
      </c>
      <c r="E36" s="189">
        <f>-IS!D8</f>
        <v>11582.66</v>
      </c>
      <c r="F36" s="189">
        <f>-IS!E8</f>
        <v>13476.91</v>
      </c>
      <c r="G36" s="189">
        <f>-IS!F8</f>
        <v>13742.710277936245</v>
      </c>
      <c r="H36" s="189">
        <f>-IS!G8</f>
        <v>14516.857716580207</v>
      </c>
      <c r="I36" s="189">
        <f>-IS!H8</f>
        <v>15456.536079682081</v>
      </c>
      <c r="J36" s="189">
        <f>-IS!I8</f>
        <v>16600.520570106542</v>
      </c>
      <c r="K36" s="189">
        <f>-IS!J8</f>
        <v>17997.608076074139</v>
      </c>
    </row>
    <row r="37" spans="1:11">
      <c r="A37" s="189"/>
      <c r="B37" s="189" t="s">
        <v>514</v>
      </c>
      <c r="C37" s="194"/>
      <c r="D37" s="205">
        <f>Assumptions!C17</f>
        <v>2.9899391843851264E-2</v>
      </c>
      <c r="E37" s="205">
        <f>Assumptions!D17</f>
        <v>3.3504102340956347E-2</v>
      </c>
      <c r="F37" s="205">
        <f>Assumptions!E17</f>
        <v>3.606250090310717E-2</v>
      </c>
      <c r="G37" s="205">
        <f>Assumptions!F17</f>
        <v>3.5062500903107169E-2</v>
      </c>
      <c r="H37" s="205">
        <f>Assumptions!G17</f>
        <v>3.5062500903107169E-2</v>
      </c>
      <c r="I37" s="205">
        <f>Assumptions!H17</f>
        <v>3.5062500903107169E-2</v>
      </c>
      <c r="J37" s="205">
        <f>Assumptions!I17</f>
        <v>3.5062500903107169E-2</v>
      </c>
      <c r="K37" s="205">
        <f>Assumptions!J17</f>
        <v>3.5062500903107169E-2</v>
      </c>
    </row>
    <row r="38" spans="1:11">
      <c r="A38" s="189"/>
      <c r="B38" s="189"/>
      <c r="C38" s="194"/>
      <c r="D38" s="189"/>
      <c r="E38" s="189"/>
      <c r="F38" s="189"/>
      <c r="G38" s="189"/>
      <c r="H38" s="189"/>
      <c r="I38" s="189"/>
      <c r="J38" s="189"/>
      <c r="K38" s="189"/>
    </row>
    <row r="39" spans="1:11">
      <c r="A39" s="189"/>
      <c r="B39" s="189" t="s">
        <v>515</v>
      </c>
      <c r="C39" s="194"/>
      <c r="D39" s="189">
        <f>-IS!C9</f>
        <v>12014.91</v>
      </c>
      <c r="E39" s="189">
        <f>-IS!D9</f>
        <v>12618.51</v>
      </c>
      <c r="F39" s="189">
        <f>-IS!E9</f>
        <v>14583.31</v>
      </c>
      <c r="G39" s="189">
        <f>-IS!F9</f>
        <v>15295.057784687622</v>
      </c>
      <c r="H39" s="189">
        <f>-IS!G9</f>
        <v>16156.651281782391</v>
      </c>
      <c r="I39" s="189">
        <f>-IS!H9</f>
        <v>17202.473726699871</v>
      </c>
      <c r="J39" s="189">
        <f>-IS!I9</f>
        <v>18475.680287266041</v>
      </c>
      <c r="K39" s="189">
        <f>-IS!J9</f>
        <v>20030.579845058975</v>
      </c>
    </row>
    <row r="40" spans="1:11">
      <c r="A40" s="189"/>
      <c r="B40" s="189" t="s">
        <v>516</v>
      </c>
      <c r="C40" s="194"/>
      <c r="D40" s="205">
        <f>Assumptions!C18</f>
        <v>3.4992081071099461E-2</v>
      </c>
      <c r="E40" s="205">
        <f>Assumptions!D18</f>
        <v>3.6500410996298006E-2</v>
      </c>
      <c r="F40" s="205">
        <f>Assumptions!E18</f>
        <v>3.9023086897908482E-2</v>
      </c>
      <c r="G40" s="205">
        <f>Assumptions!F18</f>
        <v>3.9023086897908482E-2</v>
      </c>
      <c r="H40" s="205">
        <f>Assumptions!G18</f>
        <v>3.9023086897908482E-2</v>
      </c>
      <c r="I40" s="205">
        <f>Assumptions!H18</f>
        <v>3.9023086897908482E-2</v>
      </c>
      <c r="J40" s="205">
        <f>Assumptions!I18</f>
        <v>3.9023086897908482E-2</v>
      </c>
      <c r="K40" s="205">
        <f>Assumptions!J18</f>
        <v>3.9023086897908482E-2</v>
      </c>
    </row>
    <row r="41" spans="1:11">
      <c r="A41" s="189"/>
      <c r="B41" s="189"/>
      <c r="C41" s="194"/>
      <c r="D41" s="189"/>
      <c r="E41" s="189"/>
      <c r="F41" s="189"/>
      <c r="G41" s="189"/>
      <c r="H41" s="189"/>
      <c r="I41" s="189"/>
      <c r="J41" s="189"/>
      <c r="K41" s="189"/>
    </row>
    <row r="42" spans="1:11">
      <c r="A42" s="189"/>
      <c r="B42" s="194" t="s">
        <v>517</v>
      </c>
      <c r="C42" s="194"/>
      <c r="D42" s="194">
        <f>IS!C10</f>
        <v>26296.920000000016</v>
      </c>
      <c r="E42" s="194">
        <f>IS!D10</f>
        <v>30686.840000000004</v>
      </c>
      <c r="F42" s="194">
        <f>IS!E10</f>
        <v>35470.83</v>
      </c>
      <c r="G42" s="194">
        <f>IS!F10</f>
        <v>40859.457305630393</v>
      </c>
      <c r="H42" s="194">
        <f>IS!G10</f>
        <v>42382.808392253632</v>
      </c>
      <c r="I42" s="194">
        <f>IS!H10</f>
        <v>44382.034710401109</v>
      </c>
      <c r="J42" s="194">
        <f>IS!I10</f>
        <v>46986.97770872921</v>
      </c>
      <c r="K42" s="194">
        <f>IS!J10</f>
        <v>50365.435848545618</v>
      </c>
    </row>
    <row r="43" spans="1:11">
      <c r="A43" s="189"/>
      <c r="B43" s="194" t="s">
        <v>518</v>
      </c>
      <c r="C43" s="194"/>
      <c r="D43" s="204">
        <f>D42/D15</f>
        <v>8.4214865649350101E-2</v>
      </c>
      <c r="E43" s="204">
        <f t="shared" ref="E43:K43" si="0">E42/E15</f>
        <v>9.5826419225473095E-2</v>
      </c>
      <c r="F43" s="204">
        <f t="shared" si="0"/>
        <v>0.10170177507290934</v>
      </c>
      <c r="G43" s="204">
        <f t="shared" si="0"/>
        <v>0.11170040863257163</v>
      </c>
      <c r="H43" s="204">
        <f t="shared" si="0"/>
        <v>0.10968611876123686</v>
      </c>
      <c r="I43" s="204">
        <f t="shared" si="0"/>
        <v>0.10787718257001357</v>
      </c>
      <c r="J43" s="204">
        <f t="shared" si="0"/>
        <v>0.10633845909081088</v>
      </c>
      <c r="K43" s="204">
        <f t="shared" si="0"/>
        <v>0.10513622156285668</v>
      </c>
    </row>
    <row r="44" spans="1:11">
      <c r="A44" s="189"/>
      <c r="B44" s="189"/>
      <c r="C44" s="194"/>
      <c r="D44" s="189"/>
      <c r="E44" s="189"/>
      <c r="F44" s="189"/>
      <c r="G44" s="189"/>
      <c r="H44" s="189"/>
      <c r="I44" s="189"/>
      <c r="J44" s="189"/>
      <c r="K44" s="189"/>
    </row>
    <row r="45" spans="1:11">
      <c r="A45" s="189"/>
      <c r="B45" s="189" t="s">
        <v>519</v>
      </c>
      <c r="C45" s="194"/>
      <c r="D45" s="205">
        <f>Assumptions!C20</f>
        <v>0.13904497123097362</v>
      </c>
      <c r="E45" s="205">
        <f>Assumptions!D20</f>
        <v>0.14696507705120485</v>
      </c>
      <c r="F45" s="205">
        <f>Assumptions!E20</f>
        <v>0.1620298374767658</v>
      </c>
      <c r="G45" s="205">
        <f>Assumptions!F20</f>
        <v>0.1620298374767658</v>
      </c>
      <c r="H45" s="205">
        <f>Assumptions!G20</f>
        <v>0.1620298374767658</v>
      </c>
      <c r="I45" s="205">
        <f>Assumptions!H20</f>
        <v>0.1620298374767658</v>
      </c>
      <c r="J45" s="205">
        <f>Assumptions!I20</f>
        <v>0.1620298374767658</v>
      </c>
      <c r="K45" s="205">
        <f>Assumptions!J20</f>
        <v>0.1620298374767658</v>
      </c>
    </row>
    <row r="46" spans="1:11">
      <c r="A46" s="189"/>
      <c r="B46" s="194" t="s">
        <v>520</v>
      </c>
      <c r="C46" s="194"/>
      <c r="D46" s="194">
        <f>D42*(1-D45)</f>
        <v>22640.465515136799</v>
      </c>
      <c r="E46" s="194">
        <f t="shared" ref="E46:K46" si="1">E42*(1-E45)</f>
        <v>26176.946194942007</v>
      </c>
      <c r="F46" s="194">
        <f t="shared" si="1"/>
        <v>29723.497179934013</v>
      </c>
      <c r="G46" s="194">
        <f t="shared" si="1"/>
        <v>34239.006079010251</v>
      </c>
      <c r="H46" s="194">
        <f t="shared" si="1"/>
        <v>35515.528836647871</v>
      </c>
      <c r="I46" s="194">
        <f t="shared" si="1"/>
        <v>37190.820839386637</v>
      </c>
      <c r="J46" s="194">
        <f t="shared" si="1"/>
        <v>39373.6853470594</v>
      </c>
      <c r="K46" s="194">
        <f t="shared" si="1"/>
        <v>42204.732463559296</v>
      </c>
    </row>
    <row r="47" spans="1:11">
      <c r="A47" s="189"/>
      <c r="B47" s="194" t="s">
        <v>521</v>
      </c>
      <c r="C47" s="194"/>
      <c r="D47" s="204">
        <f>D46/D15</f>
        <v>7.2505212077915909E-2</v>
      </c>
      <c r="E47" s="204">
        <f t="shared" ref="E47:K47" si="2">E46/E15</f>
        <v>8.174328214046038E-2</v>
      </c>
      <c r="F47" s="204">
        <f t="shared" si="2"/>
        <v>8.5223052986747247E-2</v>
      </c>
      <c r="G47" s="204">
        <f t="shared" si="2"/>
        <v>9.360160957574773E-2</v>
      </c>
      <c r="H47" s="204">
        <f t="shared" si="2"/>
        <v>9.1913694764896428E-2</v>
      </c>
      <c r="I47" s="204">
        <f t="shared" si="2"/>
        <v>9.0397860210742878E-2</v>
      </c>
      <c r="J47" s="204">
        <f t="shared" si="2"/>
        <v>8.9108455846797094E-2</v>
      </c>
      <c r="K47" s="204">
        <f t="shared" si="2"/>
        <v>8.8101016670105767E-2</v>
      </c>
    </row>
    <row r="48" spans="1:11">
      <c r="A48" s="189"/>
      <c r="B48" s="189"/>
      <c r="C48" s="194"/>
      <c r="D48" s="189"/>
      <c r="E48" s="189"/>
      <c r="F48" s="189"/>
      <c r="G48" s="189"/>
      <c r="H48" s="189"/>
      <c r="I48" s="189"/>
      <c r="J48" s="189"/>
      <c r="K48" s="189"/>
    </row>
    <row r="49" spans="1:11">
      <c r="A49" s="189"/>
      <c r="B49" s="194" t="s">
        <v>522</v>
      </c>
      <c r="C49" s="194"/>
      <c r="D49" s="194">
        <f>IS!C26</f>
        <v>28673.720000000019</v>
      </c>
      <c r="E49" s="194">
        <f>IS!D26</f>
        <v>29610.66</v>
      </c>
      <c r="F49" s="194">
        <f>IS!E26</f>
        <v>33755.160000000011</v>
      </c>
      <c r="G49" s="194">
        <f ca="1">IS!F26</f>
        <v>35022.043212499826</v>
      </c>
      <c r="H49" s="194">
        <f ca="1">IS!G26</f>
        <v>36497.62836234612</v>
      </c>
      <c r="I49" s="194">
        <f ca="1">IS!H26</f>
        <v>38358.314866714587</v>
      </c>
      <c r="J49" s="194">
        <f ca="1">IS!I26</f>
        <v>40745.906893403146</v>
      </c>
      <c r="K49" s="194">
        <f ca="1">IS!J26</f>
        <v>43805.251306455022</v>
      </c>
    </row>
    <row r="50" spans="1:11">
      <c r="A50" s="189"/>
      <c r="B50" s="194" t="s">
        <v>523</v>
      </c>
      <c r="C50" s="194"/>
      <c r="D50" s="204">
        <f>D49/D15</f>
        <v>9.1826475399669746E-2</v>
      </c>
      <c r="E50" s="204">
        <f t="shared" ref="E50:K50" si="3">E49/E15</f>
        <v>9.2465810057436565E-2</v>
      </c>
      <c r="F50" s="204">
        <f t="shared" si="3"/>
        <v>9.6782615176190329E-2</v>
      </c>
      <c r="G50" s="204">
        <f t="shared" ca="1" si="3"/>
        <v>9.5742253959030091E-2</v>
      </c>
      <c r="H50" s="204">
        <f t="shared" ca="1" si="3"/>
        <v>9.4455354680731102E-2</v>
      </c>
      <c r="I50" s="204">
        <f t="shared" ca="1" si="3"/>
        <v>9.3235629302612422E-2</v>
      </c>
      <c r="J50" s="204">
        <f t="shared" ca="1" si="3"/>
        <v>9.2213995549179237E-2</v>
      </c>
      <c r="K50" s="204">
        <f t="shared" ca="1" si="3"/>
        <v>9.1442048090705913E-2</v>
      </c>
    </row>
    <row r="51" spans="1:11">
      <c r="A51" s="189"/>
      <c r="B51" s="194"/>
      <c r="C51" s="194"/>
      <c r="D51" s="204"/>
      <c r="E51" s="204"/>
      <c r="F51" s="204"/>
      <c r="G51" s="204"/>
      <c r="H51" s="204"/>
      <c r="I51" s="204"/>
      <c r="J51" s="204"/>
      <c r="K51" s="204"/>
    </row>
    <row r="52" spans="1:11">
      <c r="A52" s="189"/>
      <c r="B52" s="189" t="s">
        <v>524</v>
      </c>
      <c r="C52" s="194"/>
      <c r="D52" s="189">
        <f>OWC!D26</f>
        <v>-4298.4599999999919</v>
      </c>
      <c r="E52" s="189">
        <f>OWC!E26</f>
        <v>-43994.109999999986</v>
      </c>
      <c r="F52" s="189">
        <f>OWC!F26</f>
        <v>-48294.729930402304</v>
      </c>
      <c r="G52" s="189">
        <f>OWC!G26</f>
        <v>-50602.921910968609</v>
      </c>
      <c r="H52" s="189">
        <f>OWC!H26</f>
        <v>-53386.298163897416</v>
      </c>
      <c r="I52" s="189">
        <f>OWC!I26</f>
        <v>-56752.457239923882</v>
      </c>
      <c r="J52" s="189">
        <f>OWC!J26</f>
        <v>-60835.939050725341</v>
      </c>
      <c r="K52" s="189">
        <f>OWC!K26</f>
        <v>0</v>
      </c>
    </row>
    <row r="53" spans="1:11">
      <c r="A53" s="189"/>
      <c r="B53" s="189" t="s">
        <v>525</v>
      </c>
      <c r="C53" s="194"/>
      <c r="D53" s="205">
        <f>D52/D15</f>
        <v>-1.3765651315785443E-2</v>
      </c>
      <c r="E53" s="205">
        <f t="shared" ref="E53:K53" si="4">E52/E15</f>
        <v>-0.13738130183204189</v>
      </c>
      <c r="F53" s="205">
        <f t="shared" si="4"/>
        <v>-0.13847039273083481</v>
      </c>
      <c r="G53" s="205">
        <f t="shared" si="4"/>
        <v>-0.13833681179799751</v>
      </c>
      <c r="H53" s="205">
        <f t="shared" si="4"/>
        <v>-0.13816299728024431</v>
      </c>
      <c r="I53" s="205">
        <f t="shared" si="4"/>
        <v>-0.1379453472765946</v>
      </c>
      <c r="J53" s="205">
        <f t="shared" si="4"/>
        <v>-0.13768070072731614</v>
      </c>
      <c r="K53" s="205">
        <f t="shared" si="4"/>
        <v>0</v>
      </c>
    </row>
    <row r="54" spans="1:11">
      <c r="A54" s="194" t="s">
        <v>526</v>
      </c>
      <c r="B54" s="194"/>
      <c r="C54" s="204"/>
      <c r="D54" s="204"/>
      <c r="E54" s="204"/>
      <c r="F54" s="204"/>
      <c r="G54" s="204"/>
      <c r="H54" s="204"/>
      <c r="I54" s="204"/>
      <c r="J54" s="204"/>
      <c r="K54" s="204"/>
    </row>
    <row r="55" spans="1:11">
      <c r="A55" s="189"/>
      <c r="B55" s="189"/>
      <c r="C55" s="189"/>
      <c r="D55" s="204"/>
      <c r="E55" s="204"/>
      <c r="F55" s="189"/>
      <c r="G55" s="189"/>
      <c r="H55" s="189"/>
      <c r="I55" s="189"/>
      <c r="J55" s="189"/>
      <c r="K55" s="189"/>
    </row>
    <row r="56" spans="1:1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</row>
  </sheetData>
  <phoneticPr fontId="40" type="noConversion"/>
  <hyperlinks>
    <hyperlink ref="B2" location="Contents!A1" display="Contents!A1" xr:uid="{3190BA5C-2906-459C-84FA-B2C237AFF626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E069C93-9D2D-4E87-8D54-B7A07F5465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00B050"/>
          <x14:sparklines>
            <x14:sparkline>
              <xm:f>Summary!D15:K15</xm:f>
              <xm:sqref>C15</xm:sqref>
            </x14:sparkline>
            <x14:sparkline>
              <xm:f>Summary!D16:K16</xm:f>
              <xm:sqref>C16</xm:sqref>
            </x14:sparkline>
            <x14:sparkline>
              <xm:f>Summary!D17:K17</xm:f>
              <xm:sqref>C17</xm:sqref>
            </x14:sparkline>
            <x14:sparkline>
              <xm:f>Summary!D18:K18</xm:f>
              <xm:sqref>C18</xm:sqref>
            </x14:sparkline>
            <x14:sparkline>
              <xm:f>Summary!D19:K19</xm:f>
              <xm:sqref>C19</xm:sqref>
            </x14:sparkline>
            <x14:sparkline>
              <xm:f>Summary!D20:K20</xm:f>
              <xm:sqref>C20</xm:sqref>
            </x14:sparkline>
            <x14:sparkline>
              <xm:f>Summary!D21:K21</xm:f>
              <xm:sqref>C21</xm:sqref>
            </x14:sparkline>
            <x14:sparkline>
              <xm:f>Summary!D22:K22</xm:f>
              <xm:sqref>C22</xm:sqref>
            </x14:sparkline>
            <x14:sparkline>
              <xm:f>Summary!D23:K23</xm:f>
              <xm:sqref>C23</xm:sqref>
            </x14:sparkline>
            <x14:sparkline>
              <xm:f>Summary!D24:K24</xm:f>
              <xm:sqref>C24</xm:sqref>
            </x14:sparkline>
            <x14:sparkline>
              <xm:f>Summary!D25:K25</xm:f>
              <xm:sqref>C25</xm:sqref>
            </x14:sparkline>
            <x14:sparkline>
              <xm:f>Summary!D26:K26</xm:f>
              <xm:sqref>C26</xm:sqref>
            </x14:sparkline>
            <x14:sparkline>
              <xm:f>Summary!D27:K27</xm:f>
              <xm:sqref>C27</xm:sqref>
            </x14:sparkline>
            <x14:sparkline>
              <xm:f>Summary!D28:K28</xm:f>
              <xm:sqref>C28</xm:sqref>
            </x14:sparkline>
            <x14:sparkline>
              <xm:f>Summary!D29:K29</xm:f>
              <xm:sqref>C29</xm:sqref>
            </x14:sparkline>
            <x14:sparkline>
              <xm:f>Summary!D30:K30</xm:f>
              <xm:sqref>C30</xm:sqref>
            </x14:sparkline>
            <x14:sparkline>
              <xm:f>Summary!D31:K31</xm:f>
              <xm:sqref>C31</xm:sqref>
            </x14:sparkline>
            <x14:sparkline>
              <xm:f>Summary!D32:K32</xm:f>
              <xm:sqref>C32</xm:sqref>
            </x14:sparkline>
            <x14:sparkline>
              <xm:f>Summary!D33:K33</xm:f>
              <xm:sqref>C33</xm:sqref>
            </x14:sparkline>
            <x14:sparkline>
              <xm:f>Summary!D34:K34</xm:f>
              <xm:sqref>C34</xm:sqref>
            </x14:sparkline>
            <x14:sparkline>
              <xm:f>Summary!D35:K35</xm:f>
              <xm:sqref>C35</xm:sqref>
            </x14:sparkline>
            <x14:sparkline>
              <xm:f>Summary!D36:K36</xm:f>
              <xm:sqref>C36</xm:sqref>
            </x14:sparkline>
            <x14:sparkline>
              <xm:f>Summary!D37:K37</xm:f>
              <xm:sqref>C37</xm:sqref>
            </x14:sparkline>
            <x14:sparkline>
              <xm:f>Summary!D38:K38</xm:f>
              <xm:sqref>C38</xm:sqref>
            </x14:sparkline>
            <x14:sparkline>
              <xm:f>Summary!D39:K39</xm:f>
              <xm:sqref>C39</xm:sqref>
            </x14:sparkline>
            <x14:sparkline>
              <xm:f>Summary!D40:K40</xm:f>
              <xm:sqref>C40</xm:sqref>
            </x14:sparkline>
            <x14:sparkline>
              <xm:f>Summary!D41:K41</xm:f>
              <xm:sqref>C41</xm:sqref>
            </x14:sparkline>
            <x14:sparkline>
              <xm:f>Summary!D42:K42</xm:f>
              <xm:sqref>C42</xm:sqref>
            </x14:sparkline>
            <x14:sparkline>
              <xm:f>Summary!D43:K43</xm:f>
              <xm:sqref>C43</xm:sqref>
            </x14:sparkline>
            <x14:sparkline>
              <xm:f>Summary!D44:K44</xm:f>
              <xm:sqref>C44</xm:sqref>
            </x14:sparkline>
            <x14:sparkline>
              <xm:f>Summary!D45:K45</xm:f>
              <xm:sqref>C45</xm:sqref>
            </x14:sparkline>
            <x14:sparkline>
              <xm:f>Summary!D46:K46</xm:f>
              <xm:sqref>C46</xm:sqref>
            </x14:sparkline>
            <x14:sparkline>
              <xm:f>Summary!D47:K47</xm:f>
              <xm:sqref>C47</xm:sqref>
            </x14:sparkline>
            <x14:sparkline>
              <xm:f>Summary!D48:K48</xm:f>
              <xm:sqref>C48</xm:sqref>
            </x14:sparkline>
            <x14:sparkline>
              <xm:f>Summary!D49:K49</xm:f>
              <xm:sqref>C49</xm:sqref>
            </x14:sparkline>
            <x14:sparkline>
              <xm:f>Summary!D50:K50</xm:f>
              <xm:sqref>C50</xm:sqref>
            </x14:sparkline>
            <x14:sparkline>
              <xm:f>Summary!D51:K51</xm:f>
              <xm:sqref>C51</xm:sqref>
            </x14:sparkline>
            <x14:sparkline>
              <xm:f>Summary!D52:K52</xm:f>
              <xm:sqref>C52</xm:sqref>
            </x14:sparkline>
            <x14:sparkline>
              <xm:f>Summary!D53:K53</xm:f>
              <xm:sqref>C53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36"/>
  <sheetViews>
    <sheetView showGridLines="0" zoomScale="85" zoomScaleNormal="85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0" defaultRowHeight="12.5" outlineLevelRow="1"/>
  <cols>
    <col min="1" max="1" width="3.796875" style="1" customWidth="1"/>
    <col min="2" max="2" width="40.59765625" style="1" customWidth="1"/>
    <col min="3" max="10" width="11.8984375" style="1" customWidth="1"/>
    <col min="11" max="11" width="3.796875" style="1" customWidth="1"/>
    <col min="12" max="16" width="9" style="1" customWidth="1"/>
    <col min="17" max="16384" width="9" style="1" hidden="1"/>
  </cols>
  <sheetData>
    <row r="2" spans="2:12" ht="14.5">
      <c r="B2" s="99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  <c r="K2" s="106"/>
      <c r="L2" s="128" t="s">
        <v>1</v>
      </c>
    </row>
    <row r="3" spans="2:12" ht="13">
      <c r="B3" s="100"/>
      <c r="C3" s="108"/>
      <c r="D3" s="108"/>
      <c r="E3" s="108"/>
      <c r="F3" s="108"/>
      <c r="G3" s="108"/>
      <c r="H3" s="108"/>
      <c r="I3" s="108"/>
      <c r="J3" s="108"/>
      <c r="K3" s="125"/>
      <c r="L3" s="125"/>
    </row>
    <row r="4" spans="2:12" ht="14.5">
      <c r="B4" s="1" t="s">
        <v>2</v>
      </c>
      <c r="C4" s="138">
        <v>343360.83</v>
      </c>
      <c r="D4" s="138">
        <v>345708.71</v>
      </c>
      <c r="E4" s="138">
        <v>373709.8</v>
      </c>
      <c r="F4" s="119">
        <f>Assumptions!F9</f>
        <v>391948.94613802043</v>
      </c>
      <c r="G4" s="119">
        <f>Assumptions!G9</f>
        <v>414028.01690320246</v>
      </c>
      <c r="H4" s="119">
        <f>Assumptions!H9</f>
        <v>440828.11213025462</v>
      </c>
      <c r="I4" s="119">
        <f>Assumptions!I9</f>
        <v>473455.11992943543</v>
      </c>
      <c r="J4" s="119">
        <f>Assumptions!J9</f>
        <v>513300.75187190162</v>
      </c>
      <c r="K4" s="106"/>
      <c r="L4" s="106"/>
    </row>
    <row r="5" spans="2:12" ht="14.5">
      <c r="B5" s="1" t="s">
        <v>3</v>
      </c>
      <c r="C5" s="170">
        <v>-264526</v>
      </c>
      <c r="D5" s="170">
        <v>-260538.7</v>
      </c>
      <c r="E5" s="170">
        <v>-273481.37</v>
      </c>
      <c r="F5" s="119">
        <f>-F4*(1-Assumptions!F14)</f>
        <v>-283171.35268924508</v>
      </c>
      <c r="G5" s="119">
        <f>-G4*(1-Assumptions!G14)</f>
        <v>-299487.11408901471</v>
      </c>
      <c r="H5" s="119">
        <f>-H4*(1-Assumptions!H14)</f>
        <v>-319176.3506818249</v>
      </c>
      <c r="I5" s="119">
        <f>-I4*(1-Assumptions!I14)</f>
        <v>-343005.99664979579</v>
      </c>
      <c r="J5" s="119">
        <f>-J4*(1-Assumptions!J14)</f>
        <v>-371935.75739602686</v>
      </c>
      <c r="K5" s="106"/>
      <c r="L5" s="106"/>
    </row>
    <row r="6" spans="2:12" ht="14.5">
      <c r="B6" s="1" t="s">
        <v>4</v>
      </c>
      <c r="C6" s="138">
        <v>-1609.38</v>
      </c>
      <c r="D6" s="138">
        <v>-1565.88</v>
      </c>
      <c r="E6" s="138">
        <v>-1816.5</v>
      </c>
      <c r="F6" s="119">
        <f>-F4*Assumptions!F15</f>
        <v>-1905.1554459094039</v>
      </c>
      <c r="G6" s="119">
        <f>-G4*Assumptions!G15</f>
        <v>-2012.4757036199408</v>
      </c>
      <c r="H6" s="119">
        <f>-H4*Assumptions!H15</f>
        <v>-2142.7435557874255</v>
      </c>
      <c r="I6" s="119">
        <f>-I4*Assumptions!I15</f>
        <v>-2301.3344187169282</v>
      </c>
      <c r="J6" s="119">
        <f>-J4*Assumptions!J15</f>
        <v>-2495.0130175213744</v>
      </c>
      <c r="K6" s="106"/>
      <c r="L6" s="106"/>
    </row>
    <row r="7" spans="2:12" ht="14.5">
      <c r="B7" s="1" t="s">
        <v>5</v>
      </c>
      <c r="C7" s="138">
        <v>-28647.34</v>
      </c>
      <c r="D7" s="138">
        <v>-28716.12</v>
      </c>
      <c r="E7" s="138">
        <v>-34880.879999999997</v>
      </c>
      <c r="F7" s="119">
        <f>-F4*Assumptions!F16</f>
        <v>-36975.212634611678</v>
      </c>
      <c r="G7" s="119">
        <f>-G4*Assumptions!G16</f>
        <v>-39472.109719951579</v>
      </c>
      <c r="H7" s="119">
        <f>-H4*Assumptions!H16</f>
        <v>-42467.973375859241</v>
      </c>
      <c r="I7" s="119">
        <f>-I4*Assumptions!I16</f>
        <v>-46084.610294820923</v>
      </c>
      <c r="J7" s="119">
        <f>-J4*Assumptions!J16</f>
        <v>-50476.357688674652</v>
      </c>
      <c r="K7" s="106"/>
      <c r="L7" s="106"/>
    </row>
    <row r="8" spans="2:12" ht="14.5">
      <c r="B8" s="1" t="s">
        <v>6</v>
      </c>
      <c r="C8" s="138">
        <v>-10266.280000000001</v>
      </c>
      <c r="D8" s="138">
        <v>-11582.66</v>
      </c>
      <c r="E8" s="138">
        <v>-13476.91</v>
      </c>
      <c r="F8" s="119">
        <f>-F4*Assumptions!F17</f>
        <v>-13742.710277936245</v>
      </c>
      <c r="G8" s="119">
        <f>-G4*Assumptions!G17</f>
        <v>-14516.857716580207</v>
      </c>
      <c r="H8" s="119">
        <f>-H4*Assumptions!H17</f>
        <v>-15456.536079682081</v>
      </c>
      <c r="I8" s="119">
        <f>-I4*Assumptions!I17</f>
        <v>-16600.520570106542</v>
      </c>
      <c r="J8" s="119">
        <f>-J4*Assumptions!J17</f>
        <v>-17997.608076074139</v>
      </c>
      <c r="K8" s="106"/>
      <c r="L8" s="106"/>
    </row>
    <row r="9" spans="2:12" ht="14.5">
      <c r="B9" s="1" t="s">
        <v>7</v>
      </c>
      <c r="C9" s="138">
        <v>-12014.91</v>
      </c>
      <c r="D9" s="138">
        <v>-12618.51</v>
      </c>
      <c r="E9" s="138">
        <v>-14583.31</v>
      </c>
      <c r="F9" s="119">
        <f>-F4*Assumptions!F18</f>
        <v>-15295.057784687622</v>
      </c>
      <c r="G9" s="119">
        <f>-G4*Assumptions!G18</f>
        <v>-16156.651281782391</v>
      </c>
      <c r="H9" s="119">
        <f>-H4*Assumptions!H18</f>
        <v>-17202.473726699871</v>
      </c>
      <c r="I9" s="119">
        <f>-I4*Assumptions!I18</f>
        <v>-18475.680287266041</v>
      </c>
      <c r="J9" s="119">
        <f>-J4*Assumptions!J18</f>
        <v>-20030.579845058975</v>
      </c>
      <c r="K9" s="106"/>
      <c r="L9" s="106"/>
    </row>
    <row r="10" spans="2:12" ht="13">
      <c r="B10" s="159" t="s">
        <v>8</v>
      </c>
      <c r="C10" s="141">
        <f>SUM(C4:C9)</f>
        <v>26296.920000000016</v>
      </c>
      <c r="D10" s="141">
        <f t="shared" ref="D10:E10" si="0">SUM(D4:D9)</f>
        <v>30686.840000000004</v>
      </c>
      <c r="E10" s="141">
        <f t="shared" si="0"/>
        <v>35470.83</v>
      </c>
      <c r="F10" s="141">
        <f t="shared" ref="F10:J10" si="1">SUM(F4:F9)</f>
        <v>40859.457305630393</v>
      </c>
      <c r="G10" s="141">
        <f t="shared" si="1"/>
        <v>42382.808392253632</v>
      </c>
      <c r="H10" s="141">
        <f t="shared" si="1"/>
        <v>44382.034710401109</v>
      </c>
      <c r="I10" s="141">
        <f t="shared" si="1"/>
        <v>46986.97770872921</v>
      </c>
      <c r="J10" s="141">
        <f t="shared" si="1"/>
        <v>50365.435848545618</v>
      </c>
      <c r="K10" s="106"/>
      <c r="L10" s="106"/>
    </row>
    <row r="11" spans="2:12" ht="14.5">
      <c r="B11" s="127" t="s">
        <v>9</v>
      </c>
      <c r="C11" s="138">
        <v>4386.1099999999997</v>
      </c>
      <c r="D11" s="138">
        <v>3387.49</v>
      </c>
      <c r="E11" s="138">
        <v>3261.66</v>
      </c>
      <c r="F11" s="161">
        <f ca="1">Assumptions!F84</f>
        <v>-918.15246978162008</v>
      </c>
      <c r="G11" s="161">
        <f ca="1">Assumptions!G84</f>
        <v>-678.80716263609702</v>
      </c>
      <c r="H11" s="161">
        <f ca="1">Assumptions!H84</f>
        <v>-455.38934767939054</v>
      </c>
      <c r="I11" s="161">
        <f ca="1">Assumptions!I84</f>
        <v>-208.42729581992103</v>
      </c>
      <c r="J11" s="161">
        <f ca="1">Assumptions!J84</f>
        <v>67.247942304609751</v>
      </c>
      <c r="K11" s="106"/>
      <c r="L11" s="106"/>
    </row>
    <row r="12" spans="2:12" ht="14.5">
      <c r="B12" s="56" t="s">
        <v>10</v>
      </c>
      <c r="C12" s="118">
        <f>SUM(C13:C21)</f>
        <v>3134.5900000000006</v>
      </c>
      <c r="D12" s="118">
        <f>SUM(D13:D21)</f>
        <v>938.74999999999977</v>
      </c>
      <c r="E12" s="118">
        <f>SUM(E13:E21)</f>
        <v>1579.8999999999999</v>
      </c>
      <c r="F12" s="171">
        <f>AVERAGE(C12:E12)</f>
        <v>1884.4133333333332</v>
      </c>
      <c r="G12" s="171">
        <f t="shared" ref="G12:J12" si="2">F12</f>
        <v>1884.4133333333332</v>
      </c>
      <c r="H12" s="171">
        <f t="shared" si="2"/>
        <v>1884.4133333333332</v>
      </c>
      <c r="I12" s="171">
        <f t="shared" si="2"/>
        <v>1884.4133333333332</v>
      </c>
      <c r="J12" s="171">
        <f t="shared" si="2"/>
        <v>1884.4133333333332</v>
      </c>
      <c r="K12" s="106"/>
      <c r="L12" s="106" t="s">
        <v>11</v>
      </c>
    </row>
    <row r="13" spans="2:12" ht="14.5" outlineLevel="1">
      <c r="B13" s="1" t="s">
        <v>12</v>
      </c>
      <c r="C13" s="162">
        <v>1307.5</v>
      </c>
      <c r="D13" s="162">
        <v>1896.11</v>
      </c>
      <c r="E13" s="162">
        <v>2082.38</v>
      </c>
      <c r="F13" s="161"/>
      <c r="G13" s="161"/>
      <c r="H13" s="161"/>
      <c r="I13" s="161"/>
      <c r="J13" s="161"/>
      <c r="K13" s="125"/>
      <c r="L13" s="125"/>
    </row>
    <row r="14" spans="2:12" ht="14.5" outlineLevel="1">
      <c r="B14" s="1" t="s">
        <v>13</v>
      </c>
      <c r="C14" s="162">
        <v>2365.77</v>
      </c>
      <c r="D14" s="162">
        <v>208.05</v>
      </c>
      <c r="E14" s="162">
        <v>463.56</v>
      </c>
      <c r="F14" s="161"/>
      <c r="G14" s="161"/>
      <c r="H14" s="161"/>
      <c r="I14" s="161"/>
      <c r="J14" s="161"/>
      <c r="K14" s="125"/>
      <c r="L14" s="125"/>
    </row>
    <row r="15" spans="2:12" ht="14.5" outlineLevel="1">
      <c r="B15" s="1" t="s">
        <v>14</v>
      </c>
      <c r="C15" s="162">
        <v>0</v>
      </c>
      <c r="D15" s="162">
        <v>0</v>
      </c>
      <c r="E15" s="162">
        <v>0</v>
      </c>
      <c r="F15" s="161"/>
      <c r="G15" s="161"/>
      <c r="H15" s="161"/>
      <c r="I15" s="161"/>
      <c r="J15" s="161"/>
      <c r="K15" s="125"/>
      <c r="L15" s="125"/>
    </row>
    <row r="16" spans="2:12" ht="14.5" outlineLevel="1">
      <c r="B16" s="1" t="s">
        <v>15</v>
      </c>
      <c r="C16" s="162">
        <v>-166.41</v>
      </c>
      <c r="D16" s="162">
        <v>-251.17</v>
      </c>
      <c r="E16" s="162">
        <v>-226.49</v>
      </c>
      <c r="F16" s="161"/>
      <c r="G16" s="161"/>
      <c r="H16" s="161"/>
      <c r="I16" s="161"/>
      <c r="J16" s="161"/>
      <c r="K16" s="125"/>
      <c r="L16" s="125"/>
    </row>
    <row r="17" spans="2:12" ht="14.5" outlineLevel="1">
      <c r="B17" s="1" t="s">
        <v>16</v>
      </c>
      <c r="C17" s="162">
        <v>-383.45</v>
      </c>
      <c r="D17" s="162">
        <v>-513.69000000000005</v>
      </c>
      <c r="E17" s="162">
        <v>-198.62</v>
      </c>
      <c r="F17" s="161"/>
      <c r="G17" s="161"/>
      <c r="H17" s="161"/>
      <c r="I17" s="161"/>
      <c r="J17" s="161"/>
      <c r="K17" s="125"/>
      <c r="L17" s="125"/>
    </row>
    <row r="18" spans="2:12" ht="14.5" outlineLevel="1">
      <c r="B18" s="1" t="s">
        <v>17</v>
      </c>
      <c r="C18" s="162">
        <v>-483.42</v>
      </c>
      <c r="D18" s="162">
        <v>-533.36</v>
      </c>
      <c r="E18" s="162">
        <v>-439.78</v>
      </c>
      <c r="F18" s="161"/>
      <c r="G18" s="161"/>
      <c r="H18" s="161"/>
      <c r="I18" s="161"/>
      <c r="J18" s="161"/>
      <c r="K18" s="125"/>
      <c r="L18" s="125"/>
    </row>
    <row r="19" spans="2:12" ht="14.5" outlineLevel="1">
      <c r="B19" s="1" t="s">
        <v>18</v>
      </c>
      <c r="C19" s="162">
        <v>58.26</v>
      </c>
      <c r="D19" s="162">
        <v>-59.85</v>
      </c>
      <c r="E19" s="162">
        <v>-60.87</v>
      </c>
      <c r="F19" s="161"/>
      <c r="G19" s="161"/>
      <c r="H19" s="161"/>
      <c r="I19" s="161"/>
      <c r="J19" s="161"/>
      <c r="K19" s="125"/>
      <c r="L19" s="125"/>
    </row>
    <row r="20" spans="2:12" ht="14.5" outlineLevel="1">
      <c r="B20" s="1" t="s">
        <v>19</v>
      </c>
      <c r="C20" s="162">
        <v>624.74</v>
      </c>
      <c r="D20" s="162">
        <v>395.41</v>
      </c>
      <c r="E20" s="162">
        <v>453.4</v>
      </c>
      <c r="F20" s="161"/>
      <c r="G20" s="161"/>
      <c r="H20" s="161"/>
      <c r="I20" s="161"/>
      <c r="J20" s="161"/>
      <c r="K20" s="125"/>
      <c r="L20" s="125"/>
    </row>
    <row r="21" spans="2:12" ht="15.5" outlineLevel="1">
      <c r="B21" s="1" t="s">
        <v>20</v>
      </c>
      <c r="C21" s="162">
        <v>-188.4</v>
      </c>
      <c r="D21" s="162">
        <v>-202.75</v>
      </c>
      <c r="E21" s="162">
        <v>-493.68</v>
      </c>
      <c r="F21" s="172"/>
      <c r="G21" s="172"/>
      <c r="H21" s="172"/>
      <c r="I21" s="161"/>
      <c r="J21" s="161"/>
      <c r="K21" s="125"/>
      <c r="L21" s="125"/>
    </row>
    <row r="22" spans="2:12" ht="14.5">
      <c r="B22" s="173" t="s">
        <v>21</v>
      </c>
      <c r="C22" s="141">
        <f>SUM(C10:C12)</f>
        <v>33817.620000000017</v>
      </c>
      <c r="D22" s="141">
        <f t="shared" ref="D22:J22" si="3">SUM(D10:D12)</f>
        <v>35013.08</v>
      </c>
      <c r="E22" s="141">
        <f t="shared" si="3"/>
        <v>40312.390000000007</v>
      </c>
      <c r="F22" s="141">
        <f t="shared" ca="1" si="3"/>
        <v>41825.718169182102</v>
      </c>
      <c r="G22" s="141">
        <f t="shared" ca="1" si="3"/>
        <v>43588.414562950864</v>
      </c>
      <c r="H22" s="141">
        <f t="shared" ca="1" si="3"/>
        <v>45811.05869605505</v>
      </c>
      <c r="I22" s="141">
        <f t="shared" ca="1" si="3"/>
        <v>48662.963746242618</v>
      </c>
      <c r="J22" s="141">
        <f t="shared" ca="1" si="3"/>
        <v>52317.097124183558</v>
      </c>
      <c r="K22" s="106"/>
      <c r="L22" s="106"/>
    </row>
    <row r="23" spans="2:12" ht="14.5">
      <c r="B23" s="1" t="s">
        <v>22</v>
      </c>
      <c r="C23" s="138">
        <v>-4702.17</v>
      </c>
      <c r="D23" s="138">
        <v>-5145.7</v>
      </c>
      <c r="E23" s="138">
        <v>-6531.81</v>
      </c>
      <c r="F23" s="119">
        <f ca="1">-F22*Assumptions!F20</f>
        <v>-6777.0143173015867</v>
      </c>
      <c r="G23" s="119">
        <f ca="1">-G22*Assumptions!G20</f>
        <v>-7062.6237275048206</v>
      </c>
      <c r="H23" s="119">
        <f ca="1">-H22*Assumptions!H20</f>
        <v>-7422.7583951603783</v>
      </c>
      <c r="I23" s="119">
        <f ca="1">-I22*Assumptions!I20</f>
        <v>-7884.8521069414373</v>
      </c>
      <c r="J23" s="119">
        <f ca="1">-J22*Assumptions!J20</f>
        <v>-8476.9307442876343</v>
      </c>
      <c r="K23" s="106"/>
      <c r="L23" s="106"/>
    </row>
    <row r="24" spans="2:12" ht="14.5">
      <c r="B24" s="56" t="s">
        <v>23</v>
      </c>
      <c r="C24" s="118">
        <f t="shared" ref="C24:J24" si="4">C22+C23</f>
        <v>29115.450000000019</v>
      </c>
      <c r="D24" s="118">
        <f t="shared" si="4"/>
        <v>29867.38</v>
      </c>
      <c r="E24" s="118">
        <f t="shared" si="4"/>
        <v>33780.580000000009</v>
      </c>
      <c r="F24" s="118">
        <f t="shared" ca="1" si="4"/>
        <v>35048.703851880513</v>
      </c>
      <c r="G24" s="118">
        <f t="shared" ca="1" si="4"/>
        <v>36525.790835446045</v>
      </c>
      <c r="H24" s="118">
        <f t="shared" ca="1" si="4"/>
        <v>38388.300300894669</v>
      </c>
      <c r="I24" s="118">
        <f t="shared" ca="1" si="4"/>
        <v>40778.111639301183</v>
      </c>
      <c r="J24" s="118">
        <f t="shared" ca="1" si="4"/>
        <v>43840.16637989592</v>
      </c>
      <c r="K24" s="106"/>
      <c r="L24" s="106"/>
    </row>
    <row r="25" spans="2:12" ht="14.5">
      <c r="B25" s="1" t="s">
        <v>24</v>
      </c>
      <c r="C25" s="138">
        <v>441.73</v>
      </c>
      <c r="D25" s="138">
        <v>256.72000000000003</v>
      </c>
      <c r="E25" s="138">
        <v>25.42</v>
      </c>
      <c r="F25" s="119">
        <f>F4*Assumptions!F24</f>
        <v>26.660639380686511</v>
      </c>
      <c r="G25" s="119">
        <f>G4*Assumptions!G24</f>
        <v>28.162473099927823</v>
      </c>
      <c r="H25" s="119">
        <f>H4*Assumptions!H24</f>
        <v>29.985434180080567</v>
      </c>
      <c r="I25" s="119">
        <f>I4*Assumptions!I24</f>
        <v>32.204745898037054</v>
      </c>
      <c r="J25" s="119">
        <f>J4*Assumptions!J24</f>
        <v>34.915073440899164</v>
      </c>
      <c r="K25" s="106"/>
      <c r="L25" s="106"/>
    </row>
    <row r="26" spans="2:12" ht="14.5">
      <c r="B26" s="56" t="s">
        <v>25</v>
      </c>
      <c r="C26" s="118">
        <f t="shared" ref="C26:J26" si="5">C24-C25</f>
        <v>28673.720000000019</v>
      </c>
      <c r="D26" s="118">
        <f t="shared" si="5"/>
        <v>29610.66</v>
      </c>
      <c r="E26" s="118">
        <f t="shared" si="5"/>
        <v>33755.160000000011</v>
      </c>
      <c r="F26" s="118">
        <f t="shared" ca="1" si="5"/>
        <v>35022.043212499826</v>
      </c>
      <c r="G26" s="118">
        <f t="shared" ca="1" si="5"/>
        <v>36497.62836234612</v>
      </c>
      <c r="H26" s="118">
        <f t="shared" ca="1" si="5"/>
        <v>38358.314866714587</v>
      </c>
      <c r="I26" s="118">
        <f t="shared" ca="1" si="5"/>
        <v>40745.906893403146</v>
      </c>
      <c r="J26" s="118">
        <f t="shared" ca="1" si="5"/>
        <v>43805.251306455022</v>
      </c>
      <c r="K26" s="106"/>
      <c r="L26" s="106"/>
    </row>
    <row r="27" spans="2:12" ht="14.5">
      <c r="B27" s="1" t="s">
        <v>26</v>
      </c>
      <c r="C27" s="138">
        <v>-11678</v>
      </c>
      <c r="D27" s="138">
        <v>-17189</v>
      </c>
      <c r="E27" s="138">
        <v>-20780</v>
      </c>
      <c r="F27" s="119">
        <f ca="1">F26*Assumptions!F23</f>
        <v>-14263.493562592252</v>
      </c>
      <c r="G27" s="119">
        <f ca="1">G26*Assumptions!G23</f>
        <v>-14864.457908338287</v>
      </c>
      <c r="H27" s="119">
        <f ca="1">H26*Assumptions!H23</f>
        <v>-15622.263208732338</v>
      </c>
      <c r="I27" s="119">
        <f ca="1">I26*Assumptions!I23</f>
        <v>-16594.662314522204</v>
      </c>
      <c r="J27" s="119">
        <f ca="1">J26*Assumptions!J23</f>
        <v>-17840.647281091584</v>
      </c>
      <c r="K27" s="106"/>
      <c r="L27" s="106"/>
    </row>
    <row r="28" spans="2:12">
      <c r="C28" s="138"/>
      <c r="D28" s="138"/>
      <c r="E28" s="138"/>
      <c r="F28" s="119"/>
      <c r="G28" s="119"/>
      <c r="H28" s="119"/>
      <c r="I28" s="119"/>
      <c r="J28" s="119"/>
      <c r="K28" s="106"/>
      <c r="L28" s="106"/>
    </row>
    <row r="29" spans="2:12">
      <c r="B29" s="1" t="s">
        <v>8</v>
      </c>
      <c r="C29" s="119"/>
      <c r="D29" s="119">
        <f t="shared" ref="D29:J29" si="6">D10</f>
        <v>30686.840000000004</v>
      </c>
      <c r="E29" s="119">
        <f t="shared" si="6"/>
        <v>35470.83</v>
      </c>
      <c r="F29" s="119">
        <f t="shared" si="6"/>
        <v>40859.457305630393</v>
      </c>
      <c r="G29" s="119">
        <f t="shared" si="6"/>
        <v>42382.808392253632</v>
      </c>
      <c r="H29" s="119">
        <f t="shared" si="6"/>
        <v>44382.034710401109</v>
      </c>
      <c r="I29" s="119">
        <f t="shared" si="6"/>
        <v>46986.97770872921</v>
      </c>
      <c r="J29" s="119">
        <f t="shared" si="6"/>
        <v>50365.435848545618</v>
      </c>
      <c r="K29" s="106"/>
      <c r="L29" s="106"/>
    </row>
    <row r="30" spans="2:12" ht="14.5">
      <c r="B30" s="1" t="s">
        <v>27</v>
      </c>
      <c r="C30" s="138"/>
      <c r="D30" s="138"/>
      <c r="E30" s="162">
        <v>7348.92</v>
      </c>
      <c r="F30" s="161">
        <f>-DA!F10</f>
        <v>209.30383216050865</v>
      </c>
      <c r="G30" s="161">
        <f>-DA!G10</f>
        <v>226.62009709173884</v>
      </c>
      <c r="H30" s="161">
        <f>-DA!H10</f>
        <v>245.05724643220537</v>
      </c>
      <c r="I30" s="161">
        <f>-DA!I10</f>
        <v>264.85898437029823</v>
      </c>
      <c r="J30" s="161">
        <f>-DA!J10</f>
        <v>286.32722189513117</v>
      </c>
      <c r="K30" s="106"/>
      <c r="L30" s="106"/>
    </row>
    <row r="31" spans="2:12" ht="13">
      <c r="B31" s="159" t="s">
        <v>28</v>
      </c>
      <c r="C31" s="141"/>
      <c r="D31" s="141">
        <f t="shared" ref="D31:J31" si="7">D29+D30</f>
        <v>30686.840000000004</v>
      </c>
      <c r="E31" s="141">
        <f t="shared" si="7"/>
        <v>42819.75</v>
      </c>
      <c r="F31" s="141">
        <f t="shared" si="7"/>
        <v>41068.761137790898</v>
      </c>
      <c r="G31" s="141">
        <f t="shared" si="7"/>
        <v>42609.428489345373</v>
      </c>
      <c r="H31" s="141">
        <f t="shared" si="7"/>
        <v>44627.091956833312</v>
      </c>
      <c r="I31" s="141">
        <f t="shared" si="7"/>
        <v>47251.836693099511</v>
      </c>
      <c r="J31" s="141">
        <f t="shared" si="7"/>
        <v>50651.763070440749</v>
      </c>
      <c r="K31" s="106"/>
      <c r="L31" s="106"/>
    </row>
    <row r="32" spans="2:12">
      <c r="B32" s="81"/>
      <c r="C32" s="106"/>
      <c r="D32" s="106"/>
      <c r="E32" s="110">
        <f>(E29-D29)/D29</f>
        <v>0.15589712072015227</v>
      </c>
      <c r="F32" s="110">
        <f t="shared" ref="F32:H32" si="8">(F29-E29)/E29</f>
        <v>0.1519171472906157</v>
      </c>
      <c r="G32" s="110">
        <f t="shared" si="8"/>
        <v>3.7282704839384222E-2</v>
      </c>
      <c r="H32" s="110">
        <f t="shared" si="8"/>
        <v>4.7170690050659284E-2</v>
      </c>
      <c r="I32" s="106"/>
      <c r="J32" s="106"/>
      <c r="K32" s="106"/>
      <c r="L32" s="106"/>
    </row>
    <row r="33" spans="3:8">
      <c r="E33" s="69">
        <f>E29/E4</f>
        <v>9.4915439734253704E-2</v>
      </c>
      <c r="F33" s="69">
        <f t="shared" ref="F33:H33" si="9">F29/F4</f>
        <v>0.10424688650965831</v>
      </c>
      <c r="G33" s="69">
        <f t="shared" si="9"/>
        <v>0.10236700576271027</v>
      </c>
      <c r="H33" s="69">
        <f t="shared" si="9"/>
        <v>0.10067877589732126</v>
      </c>
    </row>
    <row r="35" spans="3:8">
      <c r="C35" s="174"/>
    </row>
    <row r="36" spans="3:8">
      <c r="E36" s="175"/>
    </row>
  </sheetData>
  <sheetProtection formatCells="0" insertHyperlinks="0" autoFilter="0"/>
  <protectedRanges>
    <protectedRange sqref="C4:E9" name="区域1"/>
  </protectedRanges>
  <phoneticPr fontId="40" type="noConversion"/>
  <pageMargins left="0.25" right="0.25" top="0.75" bottom="0.75" header="0.3" footer="0.3"/>
  <pageSetup paperSize="9" scale="36" fitToHeight="0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P334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0" defaultRowHeight="12.5"/>
  <cols>
    <col min="1" max="1" width="4.19921875" style="1" customWidth="1"/>
    <col min="2" max="2" width="35.796875" style="81" customWidth="1"/>
    <col min="3" max="10" width="12.796875" style="106" customWidth="1"/>
    <col min="11" max="11" width="3.796875" style="106" customWidth="1"/>
    <col min="12" max="12" width="8.19921875" style="106" customWidth="1"/>
    <col min="13" max="14" width="9.19921875" style="106" customWidth="1"/>
    <col min="15" max="18" width="0" style="106" hidden="1" customWidth="1"/>
    <col min="19" max="67" width="0" style="81" hidden="1" customWidth="1"/>
    <col min="68" max="68" width="0" style="1" hidden="1" customWidth="1"/>
    <col min="69" max="16384" width="9.19921875" style="1" hidden="1"/>
  </cols>
  <sheetData>
    <row r="1" spans="1:12" ht="14.5">
      <c r="A1" s="2"/>
      <c r="B1" s="100"/>
      <c r="C1" s="108"/>
      <c r="D1" s="108"/>
      <c r="E1" s="108"/>
      <c r="F1" s="108"/>
      <c r="G1" s="108"/>
      <c r="H1" s="108"/>
      <c r="I1" s="108"/>
      <c r="J1" s="108"/>
      <c r="K1" s="125"/>
      <c r="L1" s="1" t="s">
        <v>29</v>
      </c>
    </row>
    <row r="2" spans="1:12" ht="14.5">
      <c r="A2" s="2"/>
      <c r="B2" s="99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</row>
    <row r="3" spans="1:12" ht="13">
      <c r="A3" s="2"/>
      <c r="B3" s="100"/>
      <c r="C3" s="108"/>
      <c r="D3" s="108"/>
      <c r="E3" s="108"/>
      <c r="F3" s="108"/>
      <c r="G3" s="108"/>
      <c r="H3" s="108"/>
      <c r="I3" s="108"/>
      <c r="J3" s="108"/>
      <c r="K3" s="125"/>
      <c r="L3" s="1"/>
    </row>
    <row r="4" spans="1:12" ht="14.5">
      <c r="A4" s="2"/>
      <c r="B4" s="56" t="s">
        <v>30</v>
      </c>
      <c r="C4" s="119"/>
      <c r="D4" s="119"/>
      <c r="E4" s="119"/>
      <c r="F4" s="119"/>
      <c r="G4" s="119"/>
      <c r="H4" s="119"/>
      <c r="I4" s="119"/>
      <c r="J4" s="119"/>
    </row>
    <row r="5" spans="1:12" ht="14.5">
      <c r="A5" s="2"/>
      <c r="B5" s="1" t="s">
        <v>31</v>
      </c>
      <c r="C5" s="138">
        <v>71875.56</v>
      </c>
      <c r="D5" s="138">
        <v>55270.1</v>
      </c>
      <c r="E5" s="138">
        <v>81673.850000000006</v>
      </c>
      <c r="F5" s="161">
        <f ca="1">CF!F76</f>
        <v>101353.33966198217</v>
      </c>
      <c r="G5" s="161">
        <f ca="1">CF!G76</f>
        <v>117132.41402155896</v>
      </c>
      <c r="H5" s="161">
        <f ca="1">CF!H76</f>
        <v>134452.27521112392</v>
      </c>
      <c r="I5" s="161">
        <f ca="1">CF!I76</f>
        <v>153719.38466740627</v>
      </c>
      <c r="J5" s="161">
        <f ca="1">CF!J76</f>
        <v>175293.05122957294</v>
      </c>
    </row>
    <row r="6" spans="1:12" ht="14.5">
      <c r="A6" s="2"/>
      <c r="B6" s="1" t="s">
        <v>32</v>
      </c>
      <c r="C6" s="138">
        <v>5879.2</v>
      </c>
      <c r="D6" s="138">
        <v>3284.59</v>
      </c>
      <c r="E6" s="138">
        <v>1790.59</v>
      </c>
      <c r="F6" s="107">
        <f>E6</f>
        <v>1790.59</v>
      </c>
      <c r="G6" s="107">
        <f t="shared" ref="G6:J7" si="0">F6</f>
        <v>1790.59</v>
      </c>
      <c r="H6" s="107">
        <f t="shared" si="0"/>
        <v>1790.59</v>
      </c>
      <c r="I6" s="107">
        <f t="shared" si="0"/>
        <v>1790.59</v>
      </c>
      <c r="J6" s="107">
        <f t="shared" si="0"/>
        <v>1790.59</v>
      </c>
      <c r="L6" s="106" t="s">
        <v>33</v>
      </c>
    </row>
    <row r="7" spans="1:12" ht="14.5">
      <c r="A7" s="2"/>
      <c r="B7" s="1" t="s">
        <v>34</v>
      </c>
      <c r="C7" s="162">
        <v>545.87</v>
      </c>
      <c r="D7" s="162">
        <v>665.48</v>
      </c>
      <c r="E7" s="162">
        <v>1278.1600000000001</v>
      </c>
      <c r="F7" s="107">
        <f>E7</f>
        <v>1278.1600000000001</v>
      </c>
      <c r="G7" s="107">
        <f t="shared" si="0"/>
        <v>1278.1600000000001</v>
      </c>
      <c r="H7" s="107">
        <f t="shared" si="0"/>
        <v>1278.1600000000001</v>
      </c>
      <c r="I7" s="107">
        <f t="shared" si="0"/>
        <v>1278.1600000000001</v>
      </c>
      <c r="J7" s="107">
        <f t="shared" si="0"/>
        <v>1278.1600000000001</v>
      </c>
      <c r="K7" s="125"/>
      <c r="L7" s="1"/>
    </row>
    <row r="8" spans="1:12" ht="14.5">
      <c r="A8" s="2"/>
      <c r="B8" s="1" t="s">
        <v>35</v>
      </c>
      <c r="C8" s="138">
        <v>4784.91</v>
      </c>
      <c r="D8" s="138">
        <v>4758.13</v>
      </c>
      <c r="E8" s="138">
        <v>5521.96</v>
      </c>
      <c r="F8" s="161">
        <f>Assumptions!F29*Assumptions!F31</f>
        <v>5791.4627944364947</v>
      </c>
      <c r="G8" s="161">
        <f>Assumptions!G29*Assumptions!G31</f>
        <v>6117.7045617182321</v>
      </c>
      <c r="H8" s="161">
        <f>Assumptions!H29*Assumptions!H31</f>
        <v>6513.7044895766212</v>
      </c>
      <c r="I8" s="161">
        <f>Assumptions!I29*Assumptions!I31</f>
        <v>6995.8032517358279</v>
      </c>
      <c r="J8" s="161">
        <f>Assumptions!J29*Assumptions!J31</f>
        <v>7584.5648677304325</v>
      </c>
    </row>
    <row r="9" spans="1:12" ht="14.5">
      <c r="A9" s="2"/>
      <c r="B9" s="1" t="s">
        <v>36</v>
      </c>
      <c r="C9" s="138">
        <v>24636.44</v>
      </c>
      <c r="D9" s="138">
        <v>28237.97</v>
      </c>
      <c r="E9" s="138">
        <v>32884.74</v>
      </c>
      <c r="F9" s="161">
        <f>Assumptions!F29*Assumptions!F32</f>
        <v>34489.700797310652</v>
      </c>
      <c r="G9" s="161">
        <f>Assumptions!G29*Assumptions!G32</f>
        <v>36432.557263891445</v>
      </c>
      <c r="H9" s="161">
        <f>Assumptions!H29*Assumptions!H32</f>
        <v>38790.842124274692</v>
      </c>
      <c r="I9" s="161">
        <f>Assumptions!I29*Assumptions!I32</f>
        <v>41661.868435209093</v>
      </c>
      <c r="J9" s="161">
        <f>Assumptions!J29*Assumptions!J32</f>
        <v>45168.100400663825</v>
      </c>
    </row>
    <row r="10" spans="1:12" ht="14.5">
      <c r="A10" s="2"/>
      <c r="B10" s="1" t="s">
        <v>37</v>
      </c>
      <c r="C10" s="162">
        <v>10273.549999999999</v>
      </c>
      <c r="D10" s="162">
        <v>13526.54</v>
      </c>
      <c r="E10" s="162">
        <v>13330.01</v>
      </c>
      <c r="F10" s="161">
        <f>Assumptions!F29*Assumptions!F33</f>
        <v>13980.589675489577</v>
      </c>
      <c r="G10" s="161">
        <f>Assumptions!G29*Assumptions!G33</f>
        <v>14768.13721663135</v>
      </c>
      <c r="H10" s="161">
        <f>Assumptions!H29*Assumptions!H33</f>
        <v>15724.080939213842</v>
      </c>
      <c r="I10" s="161">
        <f>Assumptions!I29*Assumptions!I33</f>
        <v>16887.867225345912</v>
      </c>
      <c r="J10" s="161">
        <f>Assumptions!J29*Assumptions!J33</f>
        <v>18309.137612821414</v>
      </c>
      <c r="K10" s="125"/>
      <c r="L10" s="125"/>
    </row>
    <row r="11" spans="1:12" ht="14.5">
      <c r="A11" s="2"/>
      <c r="B11" s="1" t="s">
        <v>38</v>
      </c>
      <c r="C11" s="162">
        <v>4352.8100000000004</v>
      </c>
      <c r="D11" s="162">
        <v>4367.21</v>
      </c>
      <c r="E11" s="162">
        <v>3316.19</v>
      </c>
      <c r="F11" s="161">
        <f>-Assumptions!F34*IS!F5</f>
        <v>3433.6891323695932</v>
      </c>
      <c r="G11" s="161">
        <f>-Assumptions!G34*IS!G5</f>
        <v>3631.5313649001014</v>
      </c>
      <c r="H11" s="161">
        <f>-Assumptions!H34*IS!H5</f>
        <v>3870.2798013903503</v>
      </c>
      <c r="I11" s="161">
        <f>-Assumptions!I34*IS!I5</f>
        <v>4159.234159277783</v>
      </c>
      <c r="J11" s="161">
        <f>-Assumptions!J34*IS!J5</f>
        <v>4510.0316680406067</v>
      </c>
      <c r="K11" s="125"/>
      <c r="L11" s="125"/>
    </row>
    <row r="12" spans="1:12" ht="14.5">
      <c r="A12" s="2"/>
      <c r="B12" s="1" t="s">
        <v>39</v>
      </c>
      <c r="C12" s="162">
        <v>3104.07</v>
      </c>
      <c r="D12" s="162">
        <v>2211.1799999999998</v>
      </c>
      <c r="E12" s="162">
        <v>2181.88</v>
      </c>
      <c r="F12" s="107">
        <f>AVERAGE(C12:E12)</f>
        <v>2499.0433333333335</v>
      </c>
      <c r="G12" s="107">
        <f t="shared" ref="G12:J12" si="1">F12</f>
        <v>2499.0433333333335</v>
      </c>
      <c r="H12" s="107">
        <f t="shared" si="1"/>
        <v>2499.0433333333335</v>
      </c>
      <c r="I12" s="107">
        <f t="shared" si="1"/>
        <v>2499.0433333333335</v>
      </c>
      <c r="J12" s="107">
        <f t="shared" si="1"/>
        <v>2499.0433333333335</v>
      </c>
      <c r="K12" s="125"/>
      <c r="L12" s="125" t="s">
        <v>40</v>
      </c>
    </row>
    <row r="13" spans="1:12" ht="14.5">
      <c r="A13" s="2"/>
      <c r="B13" s="1" t="s">
        <v>41</v>
      </c>
      <c r="C13" s="162">
        <v>45924.44</v>
      </c>
      <c r="D13" s="162">
        <v>46044.9</v>
      </c>
      <c r="E13" s="162">
        <v>47339.26</v>
      </c>
      <c r="F13" s="161">
        <f>IFERROR(-IS!F5/(365/Assumptions!F35),0)</f>
        <v>49016.58306563212</v>
      </c>
      <c r="G13" s="161">
        <f>IFERROR(-IS!G5/(365/Assumptions!G35),0)</f>
        <v>51840.819579445328</v>
      </c>
      <c r="H13" s="161">
        <f>IFERROR(-IS!H5/(365/Assumptions!H35),0)</f>
        <v>55249.000144975456</v>
      </c>
      <c r="I13" s="161">
        <f>IFERROR(-IS!I5/(365/Assumptions!I35),0)</f>
        <v>59373.880045151935</v>
      </c>
      <c r="J13" s="161">
        <f>IFERROR(-IS!J5/(365/Assumptions!J35),0)</f>
        <v>64381.583003871303</v>
      </c>
      <c r="K13" s="125"/>
      <c r="L13" s="125"/>
    </row>
    <row r="14" spans="1:12" ht="14.5">
      <c r="A14" s="2"/>
      <c r="B14" s="1" t="s">
        <v>42</v>
      </c>
      <c r="C14" s="162">
        <v>3823.48</v>
      </c>
      <c r="D14" s="162">
        <v>4498.96</v>
      </c>
      <c r="E14" s="162">
        <v>4045.93</v>
      </c>
      <c r="F14" s="161">
        <f>Assumptions!F36*IS!F4</f>
        <v>4243.3942049370962</v>
      </c>
      <c r="G14" s="161">
        <f>Assumptions!G36*IS!G4</f>
        <v>4482.4309515810774</v>
      </c>
      <c r="H14" s="161">
        <f>Assumptions!H36*IS!H4</f>
        <v>4772.5793749887243</v>
      </c>
      <c r="I14" s="161">
        <f>Assumptions!I36*IS!I4</f>
        <v>5125.8122569333227</v>
      </c>
      <c r="J14" s="161">
        <f>Assumptions!J36*IS!J4</f>
        <v>5557.1968169448137</v>
      </c>
      <c r="K14" s="125"/>
      <c r="L14" s="125"/>
    </row>
    <row r="15" spans="1:12" ht="14.5">
      <c r="A15" s="2"/>
      <c r="B15" s="1" t="s">
        <v>43</v>
      </c>
      <c r="C15" s="162">
        <v>0</v>
      </c>
      <c r="D15" s="162">
        <v>0</v>
      </c>
      <c r="E15" s="162">
        <v>0</v>
      </c>
      <c r="F15" s="107">
        <f t="shared" ref="F15:F17" si="2">AVERAGE(C15:E15)</f>
        <v>0</v>
      </c>
      <c r="G15" s="107">
        <f>F15</f>
        <v>0</v>
      </c>
      <c r="H15" s="107">
        <f t="shared" ref="H15:J16" si="3">G15</f>
        <v>0</v>
      </c>
      <c r="I15" s="107">
        <f t="shared" si="3"/>
        <v>0</v>
      </c>
      <c r="J15" s="107">
        <f t="shared" si="3"/>
        <v>0</v>
      </c>
      <c r="K15" s="125"/>
      <c r="L15" s="125"/>
    </row>
    <row r="16" spans="1:12" ht="14.5">
      <c r="A16" s="2"/>
      <c r="B16" s="1" t="s">
        <v>44</v>
      </c>
      <c r="C16" s="162">
        <v>19851.580000000002</v>
      </c>
      <c r="D16" s="162">
        <v>37553.08</v>
      </c>
      <c r="E16" s="162">
        <v>10760.58</v>
      </c>
      <c r="F16" s="107">
        <f t="shared" si="2"/>
        <v>22721.74666666667</v>
      </c>
      <c r="G16" s="107">
        <f>F16</f>
        <v>22721.74666666667</v>
      </c>
      <c r="H16" s="107">
        <f t="shared" si="3"/>
        <v>22721.74666666667</v>
      </c>
      <c r="I16" s="107">
        <f t="shared" si="3"/>
        <v>22721.74666666667</v>
      </c>
      <c r="J16" s="107">
        <f t="shared" si="3"/>
        <v>22721.74666666667</v>
      </c>
      <c r="K16" s="125"/>
      <c r="L16" s="125"/>
    </row>
    <row r="17" spans="1:12" ht="14.5">
      <c r="A17" s="2"/>
      <c r="B17" s="1" t="s">
        <v>45</v>
      </c>
      <c r="C17" s="162">
        <v>33156.01</v>
      </c>
      <c r="D17" s="162">
        <v>46542.38</v>
      </c>
      <c r="E17" s="162">
        <v>62900.89</v>
      </c>
      <c r="F17" s="107">
        <f t="shared" si="2"/>
        <v>47533.093333333331</v>
      </c>
      <c r="G17" s="107">
        <f>F17</f>
        <v>47533.093333333331</v>
      </c>
      <c r="H17" s="107">
        <f t="shared" ref="H17:J18" si="4">G17</f>
        <v>47533.093333333331</v>
      </c>
      <c r="I17" s="107">
        <f t="shared" si="4"/>
        <v>47533.093333333331</v>
      </c>
      <c r="J17" s="107">
        <f t="shared" si="4"/>
        <v>47533.093333333331</v>
      </c>
      <c r="K17" s="125"/>
      <c r="L17" s="125" t="s">
        <v>46</v>
      </c>
    </row>
    <row r="18" spans="1:12" ht="14">
      <c r="A18" s="2"/>
      <c r="B18" s="163" t="s">
        <v>47</v>
      </c>
      <c r="C18" s="162">
        <v>20656.599999999999</v>
      </c>
      <c r="D18" s="162">
        <v>14138.76</v>
      </c>
      <c r="E18" s="162">
        <v>14296.96</v>
      </c>
      <c r="F18" s="164">
        <f>E18</f>
        <v>14296.96</v>
      </c>
      <c r="G18" s="164">
        <f t="shared" ref="G18" si="5">F18</f>
        <v>14296.96</v>
      </c>
      <c r="H18" s="164">
        <f t="shared" si="4"/>
        <v>14296.96</v>
      </c>
      <c r="I18" s="164">
        <f t="shared" si="4"/>
        <v>14296.96</v>
      </c>
      <c r="J18" s="164">
        <f t="shared" si="4"/>
        <v>14296.96</v>
      </c>
      <c r="K18" s="125"/>
      <c r="L18" s="125"/>
    </row>
    <row r="19" spans="1:12" ht="14.5">
      <c r="A19" s="2"/>
      <c r="B19" s="159" t="s">
        <v>48</v>
      </c>
      <c r="C19" s="165">
        <f>SUM(C5:C18)</f>
        <v>248864.52000000005</v>
      </c>
      <c r="D19" s="165">
        <f t="shared" ref="D19:F19" si="6">SUM(D5:D18)</f>
        <v>261099.28000000003</v>
      </c>
      <c r="E19" s="165">
        <f t="shared" si="6"/>
        <v>281321.00000000006</v>
      </c>
      <c r="F19" s="165">
        <f t="shared" ca="1" si="6"/>
        <v>302428.35266549105</v>
      </c>
      <c r="G19" s="165">
        <f t="shared" ref="G19:J19" ca="1" si="7">SUM(G5:G18)</f>
        <v>324525.18829305982</v>
      </c>
      <c r="H19" s="165">
        <f t="shared" ca="1" si="7"/>
        <v>349492.35541887692</v>
      </c>
      <c r="I19" s="165">
        <f t="shared" ca="1" si="7"/>
        <v>378043.44337439345</v>
      </c>
      <c r="J19" s="165">
        <f t="shared" ca="1" si="7"/>
        <v>410923.25893297867</v>
      </c>
      <c r="K19" s="125"/>
      <c r="L19" s="125"/>
    </row>
    <row r="20" spans="1:12" ht="13">
      <c r="A20" s="2"/>
      <c r="B20" s="56"/>
      <c r="C20" s="166"/>
      <c r="D20" s="166"/>
      <c r="E20" s="166"/>
      <c r="F20" s="166"/>
      <c r="G20" s="166"/>
      <c r="H20" s="166"/>
      <c r="I20" s="166"/>
      <c r="J20" s="166"/>
      <c r="K20" s="125"/>
      <c r="L20" s="125"/>
    </row>
    <row r="21" spans="1:12" ht="14.5">
      <c r="A21" s="2"/>
      <c r="B21" s="56" t="s">
        <v>49</v>
      </c>
      <c r="C21" s="161"/>
      <c r="D21" s="161"/>
      <c r="E21" s="161"/>
      <c r="F21" s="161"/>
      <c r="G21" s="161"/>
      <c r="H21" s="161"/>
      <c r="I21" s="161"/>
      <c r="J21" s="161"/>
      <c r="K21" s="125"/>
      <c r="L21" s="125"/>
    </row>
    <row r="22" spans="1:12" ht="14.5">
      <c r="A22" s="2"/>
      <c r="B22" s="1" t="s">
        <v>50</v>
      </c>
      <c r="C22" s="162">
        <v>0</v>
      </c>
      <c r="D22" s="162">
        <v>0</v>
      </c>
      <c r="E22" s="162">
        <v>0</v>
      </c>
      <c r="F22" s="107">
        <f t="shared" ref="F22:J23" si="8">E22</f>
        <v>0</v>
      </c>
      <c r="G22" s="107">
        <f t="shared" si="8"/>
        <v>0</v>
      </c>
      <c r="H22" s="107">
        <f t="shared" si="8"/>
        <v>0</v>
      </c>
      <c r="I22" s="107">
        <f t="shared" si="8"/>
        <v>0</v>
      </c>
      <c r="J22" s="107">
        <f t="shared" si="8"/>
        <v>0</v>
      </c>
      <c r="K22" s="125"/>
      <c r="L22" s="125"/>
    </row>
    <row r="23" spans="1:12" ht="14.5">
      <c r="A23" s="2"/>
      <c r="B23" s="1" t="s">
        <v>51</v>
      </c>
      <c r="C23" s="162">
        <v>0</v>
      </c>
      <c r="D23" s="162">
        <v>0</v>
      </c>
      <c r="E23" s="162">
        <v>0</v>
      </c>
      <c r="F23" s="107">
        <f t="shared" si="8"/>
        <v>0</v>
      </c>
      <c r="G23" s="107">
        <f t="shared" si="8"/>
        <v>0</v>
      </c>
      <c r="H23" s="107">
        <f t="shared" si="8"/>
        <v>0</v>
      </c>
      <c r="I23" s="107">
        <f t="shared" si="8"/>
        <v>0</v>
      </c>
      <c r="J23" s="107">
        <f t="shared" si="8"/>
        <v>0</v>
      </c>
      <c r="K23" s="125"/>
      <c r="L23" s="125"/>
    </row>
    <row r="24" spans="1:12" ht="14.5">
      <c r="A24" s="2"/>
      <c r="B24" s="1" t="s">
        <v>52</v>
      </c>
      <c r="C24" s="162">
        <v>0</v>
      </c>
      <c r="D24" s="162">
        <v>0</v>
      </c>
      <c r="E24" s="162">
        <v>0</v>
      </c>
      <c r="F24" s="107">
        <f>E24</f>
        <v>0</v>
      </c>
      <c r="G24" s="107">
        <f>F24</f>
        <v>0</v>
      </c>
      <c r="H24" s="107">
        <f>G24</f>
        <v>0</v>
      </c>
      <c r="I24" s="107">
        <f>H24</f>
        <v>0</v>
      </c>
      <c r="J24" s="107">
        <f>I24</f>
        <v>0</v>
      </c>
      <c r="K24" s="125"/>
      <c r="L24" s="125"/>
    </row>
    <row r="25" spans="1:12" ht="14.5">
      <c r="A25" s="2"/>
      <c r="B25" s="1" t="s">
        <v>53</v>
      </c>
      <c r="C25" s="162">
        <v>0</v>
      </c>
      <c r="D25" s="162">
        <v>0</v>
      </c>
      <c r="E25" s="162">
        <v>0</v>
      </c>
      <c r="F25" s="107">
        <f t="shared" ref="F25:J27" si="9">E25</f>
        <v>0</v>
      </c>
      <c r="G25" s="107">
        <f t="shared" si="9"/>
        <v>0</v>
      </c>
      <c r="H25" s="107">
        <f t="shared" si="9"/>
        <v>0</v>
      </c>
      <c r="I25" s="107">
        <f t="shared" si="9"/>
        <v>0</v>
      </c>
      <c r="J25" s="107">
        <f t="shared" si="9"/>
        <v>0</v>
      </c>
      <c r="K25" s="125"/>
      <c r="L25" s="125"/>
    </row>
    <row r="26" spans="1:12" ht="14.5">
      <c r="A26" s="2"/>
      <c r="B26" s="1" t="s">
        <v>54</v>
      </c>
      <c r="C26" s="162">
        <v>851.93</v>
      </c>
      <c r="D26" s="162">
        <v>693.29</v>
      </c>
      <c r="E26" s="162">
        <v>975.27</v>
      </c>
      <c r="F26" s="107">
        <f t="shared" si="9"/>
        <v>975.27</v>
      </c>
      <c r="G26" s="107">
        <f t="shared" si="9"/>
        <v>975.27</v>
      </c>
      <c r="H26" s="107">
        <f t="shared" si="9"/>
        <v>975.27</v>
      </c>
      <c r="I26" s="107">
        <f t="shared" si="9"/>
        <v>975.27</v>
      </c>
      <c r="J26" s="107">
        <f t="shared" si="9"/>
        <v>975.27</v>
      </c>
      <c r="K26" s="125"/>
      <c r="L26" s="125"/>
    </row>
    <row r="27" spans="1:12" ht="14.5">
      <c r="A27" s="2"/>
      <c r="B27" s="1" t="s">
        <v>55</v>
      </c>
      <c r="C27" s="162">
        <v>7893.94</v>
      </c>
      <c r="D27" s="162">
        <v>11094.26</v>
      </c>
      <c r="E27" s="162">
        <v>6319.05</v>
      </c>
      <c r="F27" s="107">
        <f t="shared" si="9"/>
        <v>6319.05</v>
      </c>
      <c r="G27" s="107">
        <f t="shared" si="9"/>
        <v>6319.05</v>
      </c>
      <c r="H27" s="107">
        <f t="shared" si="9"/>
        <v>6319.05</v>
      </c>
      <c r="I27" s="107">
        <f t="shared" si="9"/>
        <v>6319.05</v>
      </c>
      <c r="J27" s="107">
        <f t="shared" si="9"/>
        <v>6319.05</v>
      </c>
      <c r="K27" s="125"/>
      <c r="L27" s="125"/>
    </row>
    <row r="28" spans="1:12" ht="14.5">
      <c r="A28" s="2"/>
      <c r="B28" s="1" t="s">
        <v>56</v>
      </c>
      <c r="C28" s="162">
        <v>871.36</v>
      </c>
      <c r="D28" s="162">
        <v>614.6</v>
      </c>
      <c r="E28" s="162">
        <v>250.52</v>
      </c>
      <c r="F28" s="107">
        <f>E28</f>
        <v>250.52</v>
      </c>
      <c r="G28" s="107">
        <f t="shared" ref="G28:J28" si="10">F28</f>
        <v>250.52</v>
      </c>
      <c r="H28" s="107">
        <f t="shared" si="10"/>
        <v>250.52</v>
      </c>
      <c r="I28" s="107">
        <f t="shared" si="10"/>
        <v>250.52</v>
      </c>
      <c r="J28" s="107">
        <f t="shared" si="10"/>
        <v>250.52</v>
      </c>
      <c r="K28" s="125"/>
    </row>
    <row r="29" spans="1:12" ht="14.5">
      <c r="A29" s="2"/>
      <c r="B29" s="1" t="s">
        <v>57</v>
      </c>
      <c r="C29" s="162">
        <v>3796.71</v>
      </c>
      <c r="D29" s="162">
        <v>5188.82</v>
      </c>
      <c r="E29" s="162">
        <v>4976.1099999999997</v>
      </c>
      <c r="F29" s="107">
        <f>E29</f>
        <v>4976.1099999999997</v>
      </c>
      <c r="G29" s="107">
        <f t="shared" ref="G29:J29" si="11">F29</f>
        <v>4976.1099999999997</v>
      </c>
      <c r="H29" s="107">
        <f t="shared" si="11"/>
        <v>4976.1099999999997</v>
      </c>
      <c r="I29" s="107">
        <f t="shared" si="11"/>
        <v>4976.1099999999997</v>
      </c>
      <c r="J29" s="107">
        <f t="shared" si="11"/>
        <v>4976.1099999999997</v>
      </c>
      <c r="K29" s="125"/>
      <c r="L29" s="125"/>
    </row>
    <row r="30" spans="1:12" ht="14.5">
      <c r="A30" s="2"/>
      <c r="B30" s="1" t="s">
        <v>58</v>
      </c>
      <c r="C30" s="162">
        <v>45.75</v>
      </c>
      <c r="D30" s="162">
        <v>41.36</v>
      </c>
      <c r="E30" s="162">
        <v>37.869999999999997</v>
      </c>
      <c r="F30" s="107">
        <f>E30</f>
        <v>37.869999999999997</v>
      </c>
      <c r="G30" s="107">
        <f t="shared" ref="G30:J30" si="12">F30</f>
        <v>37.869999999999997</v>
      </c>
      <c r="H30" s="107">
        <f t="shared" si="12"/>
        <v>37.869999999999997</v>
      </c>
      <c r="I30" s="107">
        <f t="shared" si="12"/>
        <v>37.869999999999997</v>
      </c>
      <c r="J30" s="107">
        <f t="shared" si="12"/>
        <v>37.869999999999997</v>
      </c>
      <c r="K30" s="125"/>
      <c r="L30" s="125"/>
    </row>
    <row r="31" spans="1:12" ht="14.5">
      <c r="A31" s="2"/>
      <c r="B31" s="1" t="s">
        <v>59</v>
      </c>
      <c r="C31" s="162">
        <v>5912.87</v>
      </c>
      <c r="D31" s="162">
        <v>10625.24</v>
      </c>
      <c r="E31" s="162">
        <v>7769.94</v>
      </c>
      <c r="F31" s="107">
        <f t="shared" ref="F31:F32" si="13">E31</f>
        <v>7769.94</v>
      </c>
      <c r="G31" s="107">
        <f t="shared" ref="G31:G32" si="14">F31</f>
        <v>7769.94</v>
      </c>
      <c r="H31" s="107">
        <f t="shared" ref="H31:H32" si="15">G31</f>
        <v>7769.94</v>
      </c>
      <c r="I31" s="107">
        <f t="shared" ref="I31:I32" si="16">H31</f>
        <v>7769.94</v>
      </c>
      <c r="J31" s="107">
        <f t="shared" ref="J31:J32" si="17">I31</f>
        <v>7769.94</v>
      </c>
      <c r="K31" s="125"/>
    </row>
    <row r="32" spans="1:12" ht="14.5">
      <c r="A32" s="2"/>
      <c r="B32" s="1" t="s">
        <v>60</v>
      </c>
      <c r="C32" s="162">
        <v>859.2</v>
      </c>
      <c r="D32" s="162">
        <v>809.94</v>
      </c>
      <c r="E32" s="162">
        <v>1293.6300000000001</v>
      </c>
      <c r="F32" s="107">
        <f t="shared" si="13"/>
        <v>1293.6300000000001</v>
      </c>
      <c r="G32" s="107">
        <f t="shared" si="14"/>
        <v>1293.6300000000001</v>
      </c>
      <c r="H32" s="107">
        <f t="shared" si="15"/>
        <v>1293.6300000000001</v>
      </c>
      <c r="I32" s="107">
        <f t="shared" si="16"/>
        <v>1293.6300000000001</v>
      </c>
      <c r="J32" s="107">
        <f t="shared" si="17"/>
        <v>1293.6300000000001</v>
      </c>
      <c r="K32" s="125"/>
      <c r="L32" s="125"/>
    </row>
    <row r="33" spans="1:12" ht="14.5">
      <c r="A33" s="2"/>
      <c r="B33" s="1" t="s">
        <v>61</v>
      </c>
      <c r="C33" s="162">
        <v>22852.85</v>
      </c>
      <c r="D33" s="162">
        <v>26082.99</v>
      </c>
      <c r="E33" s="162">
        <v>30937.96</v>
      </c>
      <c r="F33" s="161">
        <f>DA!F4</f>
        <v>35850.180708280212</v>
      </c>
      <c r="G33" s="161">
        <f>DA!G4</f>
        <v>41039.114161169047</v>
      </c>
      <c r="H33" s="161">
        <f>DA!H4</f>
        <v>46228.047614057883</v>
      </c>
      <c r="I33" s="161">
        <f>DA!I4</f>
        <v>56876.20106694672</v>
      </c>
      <c r="J33" s="161">
        <f>DA!J4</f>
        <v>62075.134519835556</v>
      </c>
      <c r="K33" s="125"/>
      <c r="L33" s="125"/>
    </row>
    <row r="34" spans="1:12" ht="14.5">
      <c r="A34" s="2"/>
      <c r="B34" s="1" t="s">
        <v>62</v>
      </c>
      <c r="C34" s="162">
        <v>2690.93</v>
      </c>
      <c r="D34" s="162">
        <v>3843.78</v>
      </c>
      <c r="E34" s="162">
        <v>4681.22</v>
      </c>
      <c r="F34" s="161">
        <f>DA!F5</f>
        <v>4981.22</v>
      </c>
      <c r="G34" s="161">
        <f>DA!G5</f>
        <v>5281.22</v>
      </c>
      <c r="H34" s="161">
        <f>DA!H5</f>
        <v>5449.22</v>
      </c>
      <c r="I34" s="161">
        <f>DA!I5</f>
        <v>0</v>
      </c>
      <c r="J34" s="161">
        <f>DA!J5</f>
        <v>0</v>
      </c>
      <c r="K34" s="125"/>
      <c r="L34" s="125"/>
    </row>
    <row r="35" spans="1:12" ht="14.5">
      <c r="A35" s="2"/>
      <c r="B35" s="1" t="s">
        <v>63</v>
      </c>
      <c r="C35" s="162">
        <v>0</v>
      </c>
      <c r="D35" s="162">
        <v>0</v>
      </c>
      <c r="E35" s="162">
        <v>0</v>
      </c>
      <c r="F35" s="107">
        <f t="shared" ref="F35:F36" si="18">E35</f>
        <v>0</v>
      </c>
      <c r="G35" s="107">
        <f t="shared" ref="G35:G36" si="19">F35</f>
        <v>0</v>
      </c>
      <c r="H35" s="107">
        <f t="shared" ref="H35:H36" si="20">G35</f>
        <v>0</v>
      </c>
      <c r="I35" s="107">
        <f t="shared" ref="I35:I36" si="21">H35</f>
        <v>0</v>
      </c>
      <c r="J35" s="107">
        <f t="shared" ref="J35:J36" si="22">I35</f>
        <v>0</v>
      </c>
      <c r="K35" s="125"/>
      <c r="L35" s="125"/>
    </row>
    <row r="36" spans="1:12" ht="14.5">
      <c r="A36" s="2"/>
      <c r="B36" s="1" t="s">
        <v>64</v>
      </c>
      <c r="C36" s="162">
        <v>0</v>
      </c>
      <c r="D36" s="162">
        <v>0</v>
      </c>
      <c r="E36" s="162">
        <v>0</v>
      </c>
      <c r="F36" s="107">
        <f t="shared" si="18"/>
        <v>0</v>
      </c>
      <c r="G36" s="107">
        <f t="shared" si="19"/>
        <v>0</v>
      </c>
      <c r="H36" s="107">
        <f t="shared" si="20"/>
        <v>0</v>
      </c>
      <c r="I36" s="107">
        <f t="shared" si="21"/>
        <v>0</v>
      </c>
      <c r="J36" s="107">
        <f t="shared" si="22"/>
        <v>0</v>
      </c>
      <c r="K36" s="125"/>
      <c r="L36" s="125"/>
    </row>
    <row r="37" spans="1:12" ht="14.5">
      <c r="A37" s="2"/>
      <c r="B37" s="1" t="s">
        <v>65</v>
      </c>
      <c r="C37" s="162">
        <v>2297.35</v>
      </c>
      <c r="D37" s="162">
        <v>2339.88</v>
      </c>
      <c r="E37" s="162">
        <v>3048.79</v>
      </c>
      <c r="F37" s="161">
        <f>DA!F6</f>
        <v>5327.3464740568834</v>
      </c>
      <c r="G37" s="161">
        <f>DA!G6</f>
        <v>7734.2574446084454</v>
      </c>
      <c r="H37" s="161">
        <f>DA!H6</f>
        <v>10296.968120929436</v>
      </c>
      <c r="I37" s="161">
        <f>DA!I6</f>
        <v>13049.35268356252</v>
      </c>
      <c r="J37" s="161">
        <f>DA!J6</f>
        <v>16033.37589076903</v>
      </c>
      <c r="K37" s="125"/>
    </row>
    <row r="38" spans="1:12" ht="14.5">
      <c r="A38" s="2"/>
      <c r="B38" s="1" t="s">
        <v>66</v>
      </c>
      <c r="C38" s="138">
        <v>17173.07</v>
      </c>
      <c r="D38" s="138">
        <v>16908.919999999998</v>
      </c>
      <c r="E38" s="138">
        <v>18457.740000000002</v>
      </c>
      <c r="F38" s="161">
        <f>DA!F7</f>
        <v>18787.242219260068</v>
      </c>
      <c r="G38" s="161">
        <f>DA!G7</f>
        <v>19135.305791696388</v>
      </c>
      <c r="H38" s="161">
        <f>DA!H7</f>
        <v>19505.899571040281</v>
      </c>
      <c r="I38" s="161">
        <f>DA!I7</f>
        <v>19903.922105030855</v>
      </c>
      <c r="J38" s="161">
        <f>DA!J7</f>
        <v>20301.944639021429</v>
      </c>
    </row>
    <row r="39" spans="1:12" ht="14.5">
      <c r="A39" s="2"/>
      <c r="B39" s="1" t="s">
        <v>67</v>
      </c>
      <c r="C39" s="138">
        <v>0</v>
      </c>
      <c r="D39" s="138">
        <v>0</v>
      </c>
      <c r="E39" s="138">
        <v>0</v>
      </c>
      <c r="F39" s="161">
        <f>DA!F8</f>
        <v>0</v>
      </c>
      <c r="G39" s="161">
        <f>DA!G8</f>
        <v>0</v>
      </c>
      <c r="H39" s="161">
        <f>DA!H8</f>
        <v>0</v>
      </c>
      <c r="I39" s="161">
        <f>DA!I8</f>
        <v>0</v>
      </c>
      <c r="J39" s="161">
        <f>DA!J8</f>
        <v>0</v>
      </c>
    </row>
    <row r="40" spans="1:12" ht="14.5">
      <c r="A40" s="2"/>
      <c r="B40" s="1" t="s">
        <v>68</v>
      </c>
      <c r="C40" s="138">
        <v>27874.75</v>
      </c>
      <c r="D40" s="138">
        <v>28548.65</v>
      </c>
      <c r="E40" s="138">
        <v>30858.240000000002</v>
      </c>
      <c r="F40" s="107">
        <f>E40</f>
        <v>30858.240000000002</v>
      </c>
      <c r="G40" s="107">
        <f t="shared" ref="G40:J40" si="23">F40</f>
        <v>30858.240000000002</v>
      </c>
      <c r="H40" s="107">
        <f t="shared" si="23"/>
        <v>30858.240000000002</v>
      </c>
      <c r="I40" s="107">
        <f t="shared" si="23"/>
        <v>30858.240000000002</v>
      </c>
      <c r="J40" s="107">
        <f t="shared" si="23"/>
        <v>30858.240000000002</v>
      </c>
    </row>
    <row r="41" spans="1:12" ht="14.5">
      <c r="A41" s="2"/>
      <c r="B41" s="1" t="s">
        <v>69</v>
      </c>
      <c r="C41" s="138">
        <v>1394.24</v>
      </c>
      <c r="D41" s="138">
        <v>1579.9</v>
      </c>
      <c r="E41" s="138">
        <v>1736.2</v>
      </c>
      <c r="F41" s="119">
        <f>DA!F9</f>
        <v>1690.8244894445781</v>
      </c>
      <c r="G41" s="119">
        <f>DA!G9</f>
        <v>1637.3670416651414</v>
      </c>
      <c r="H41" s="119">
        <f>DA!H9</f>
        <v>1576.6812886376015</v>
      </c>
      <c r="I41" s="119">
        <f>DA!I9</f>
        <v>1509.8396836482314</v>
      </c>
      <c r="J41" s="119">
        <f>DA!J9</f>
        <v>1438.1948370014297</v>
      </c>
    </row>
    <row r="42" spans="1:12" ht="14.5">
      <c r="A42" s="2"/>
      <c r="B42" s="1" t="s">
        <v>70</v>
      </c>
      <c r="C42" s="138">
        <v>8192.31</v>
      </c>
      <c r="D42" s="138">
        <v>10244.299999999999</v>
      </c>
      <c r="E42" s="138">
        <v>12771.15</v>
      </c>
      <c r="F42" s="107">
        <f>AVERAGE(C42:E42)</f>
        <v>10402.586666666668</v>
      </c>
      <c r="G42" s="107">
        <f t="shared" ref="G42:J42" si="24">F42</f>
        <v>10402.586666666668</v>
      </c>
      <c r="H42" s="107">
        <f t="shared" si="24"/>
        <v>10402.586666666668</v>
      </c>
      <c r="I42" s="107">
        <f t="shared" si="24"/>
        <v>10402.586666666668</v>
      </c>
      <c r="J42" s="107">
        <f t="shared" si="24"/>
        <v>10402.586666666668</v>
      </c>
      <c r="L42" s="125" t="s">
        <v>46</v>
      </c>
    </row>
    <row r="43" spans="1:12" ht="14.5">
      <c r="A43" s="2"/>
      <c r="B43" s="1" t="s">
        <v>71</v>
      </c>
      <c r="C43" s="138">
        <v>36374.36</v>
      </c>
      <c r="D43" s="138">
        <v>42840.08</v>
      </c>
      <c r="E43" s="138">
        <v>80603.53</v>
      </c>
      <c r="F43" s="107">
        <f>E43</f>
        <v>80603.53</v>
      </c>
      <c r="G43" s="107">
        <f t="shared" ref="G43:J43" si="25">F43</f>
        <v>80603.53</v>
      </c>
      <c r="H43" s="107">
        <f t="shared" si="25"/>
        <v>80603.53</v>
      </c>
      <c r="I43" s="107">
        <f t="shared" si="25"/>
        <v>80603.53</v>
      </c>
      <c r="J43" s="107">
        <f t="shared" si="25"/>
        <v>80603.53</v>
      </c>
      <c r="L43" s="106" t="s">
        <v>33</v>
      </c>
    </row>
    <row r="44" spans="1:12" ht="14.5">
      <c r="A44" s="2"/>
      <c r="B44" s="159" t="s">
        <v>72</v>
      </c>
      <c r="C44" s="141">
        <f t="shared" ref="C44:K44" si="26">SUM(C22:C43)</f>
        <v>139081.62</v>
      </c>
      <c r="D44" s="141">
        <f t="shared" si="26"/>
        <v>161456.00999999998</v>
      </c>
      <c r="E44" s="141">
        <f t="shared" si="26"/>
        <v>204717.22</v>
      </c>
      <c r="F44" s="141">
        <f t="shared" si="26"/>
        <v>210123.56055770844</v>
      </c>
      <c r="G44" s="141">
        <f t="shared" si="26"/>
        <v>218314.01110580569</v>
      </c>
      <c r="H44" s="141">
        <f t="shared" si="26"/>
        <v>226543.56326133187</v>
      </c>
      <c r="I44" s="141">
        <f t="shared" si="26"/>
        <v>234826.06220585501</v>
      </c>
      <c r="J44" s="141">
        <f t="shared" si="26"/>
        <v>243335.39655329412</v>
      </c>
      <c r="K44" s="141">
        <f t="shared" si="26"/>
        <v>0</v>
      </c>
    </row>
    <row r="45" spans="1:12" ht="13">
      <c r="A45" s="2"/>
      <c r="B45" s="56"/>
      <c r="C45" s="129"/>
      <c r="D45" s="129"/>
      <c r="E45" s="129"/>
      <c r="F45" s="129"/>
      <c r="G45" s="129"/>
      <c r="H45" s="129"/>
      <c r="I45" s="129"/>
      <c r="J45" s="129"/>
    </row>
    <row r="46" spans="1:12" ht="14.5">
      <c r="A46" s="2"/>
      <c r="B46" s="56" t="s">
        <v>73</v>
      </c>
      <c r="C46" s="118">
        <f t="shared" ref="C46:J46" si="27">C19+C44</f>
        <v>387946.14</v>
      </c>
      <c r="D46" s="118">
        <f t="shared" si="27"/>
        <v>422555.29000000004</v>
      </c>
      <c r="E46" s="118">
        <f t="shared" si="27"/>
        <v>486038.22000000009</v>
      </c>
      <c r="F46" s="118">
        <f t="shared" ca="1" si="27"/>
        <v>512551.91322319949</v>
      </c>
      <c r="G46" s="118">
        <f t="shared" ca="1" si="27"/>
        <v>542839.19939886546</v>
      </c>
      <c r="H46" s="118">
        <f t="shared" ca="1" si="27"/>
        <v>576035.91868020874</v>
      </c>
      <c r="I46" s="118">
        <f t="shared" ca="1" si="27"/>
        <v>612869.50558024843</v>
      </c>
      <c r="J46" s="118">
        <f t="shared" ca="1" si="27"/>
        <v>654258.65548627276</v>
      </c>
    </row>
    <row r="47" spans="1:12" ht="13">
      <c r="A47" s="2"/>
      <c r="B47" s="56"/>
      <c r="C47" s="119"/>
      <c r="D47" s="119"/>
      <c r="E47" s="119"/>
      <c r="F47" s="119"/>
      <c r="G47" s="119"/>
      <c r="H47" s="119"/>
      <c r="I47" s="119"/>
      <c r="J47" s="119"/>
    </row>
    <row r="48" spans="1:12" ht="14.5">
      <c r="A48" s="2"/>
      <c r="B48" s="56" t="s">
        <v>74</v>
      </c>
      <c r="C48" s="119"/>
      <c r="D48" s="119"/>
      <c r="E48" s="119"/>
      <c r="F48" s="119"/>
      <c r="G48" s="119"/>
      <c r="H48" s="119"/>
      <c r="I48" s="119"/>
      <c r="J48" s="119"/>
    </row>
    <row r="49" spans="1:12" ht="14.5">
      <c r="A49" s="2"/>
      <c r="B49" s="1" t="s">
        <v>75</v>
      </c>
      <c r="C49" s="119"/>
      <c r="D49" s="119"/>
      <c r="E49" s="119"/>
      <c r="F49" s="161">
        <f ca="1">CF!F74</f>
        <v>0</v>
      </c>
      <c r="G49" s="161">
        <f ca="1">CF!G74</f>
        <v>0</v>
      </c>
      <c r="H49" s="161">
        <f ca="1">CF!H74</f>
        <v>0</v>
      </c>
      <c r="I49" s="161">
        <f ca="1">CF!I74</f>
        <v>0</v>
      </c>
      <c r="J49" s="161">
        <f ca="1">CF!J74</f>
        <v>0</v>
      </c>
    </row>
    <row r="50" spans="1:12" ht="14.5">
      <c r="A50" s="2"/>
      <c r="B50" s="1" t="s">
        <v>76</v>
      </c>
      <c r="C50" s="138">
        <v>5638.68</v>
      </c>
      <c r="D50" s="138">
        <v>5246.95</v>
      </c>
      <c r="E50" s="138">
        <v>8908.14</v>
      </c>
      <c r="F50" s="161">
        <f>Assumptions!F51</f>
        <v>8908.14</v>
      </c>
      <c r="G50" s="161">
        <f>Assumptions!G51</f>
        <v>8908.14</v>
      </c>
      <c r="H50" s="161">
        <f>Assumptions!H51</f>
        <v>8908.14</v>
      </c>
      <c r="I50" s="161">
        <f>Assumptions!I51</f>
        <v>8908.14</v>
      </c>
      <c r="J50" s="161">
        <f>Assumptions!J51</f>
        <v>8908.14</v>
      </c>
    </row>
    <row r="51" spans="1:12" ht="14.5">
      <c r="A51" s="2"/>
      <c r="B51" s="1" t="s">
        <v>77</v>
      </c>
      <c r="C51" s="162">
        <v>0</v>
      </c>
      <c r="D51" s="162">
        <v>1580.77</v>
      </c>
      <c r="E51" s="162">
        <v>1346.67</v>
      </c>
      <c r="F51" s="107">
        <f>E51</f>
        <v>1346.67</v>
      </c>
      <c r="G51" s="107">
        <f t="shared" ref="G51:J51" si="28">F51</f>
        <v>1346.67</v>
      </c>
      <c r="H51" s="107">
        <f t="shared" si="28"/>
        <v>1346.67</v>
      </c>
      <c r="I51" s="107">
        <f t="shared" si="28"/>
        <v>1346.67</v>
      </c>
      <c r="J51" s="107">
        <f t="shared" si="28"/>
        <v>1346.67</v>
      </c>
      <c r="K51" s="125"/>
      <c r="L51" s="125"/>
    </row>
    <row r="52" spans="1:12" ht="14.5">
      <c r="A52" s="2"/>
      <c r="B52" s="1" t="s">
        <v>78</v>
      </c>
      <c r="C52" s="162">
        <v>157.6</v>
      </c>
      <c r="D52" s="162">
        <v>234.61</v>
      </c>
      <c r="E52" s="162">
        <v>257.67</v>
      </c>
      <c r="F52" s="107">
        <f>E52</f>
        <v>257.67</v>
      </c>
      <c r="G52" s="107">
        <f t="shared" ref="G52:J52" si="29">F52</f>
        <v>257.67</v>
      </c>
      <c r="H52" s="107">
        <f t="shared" si="29"/>
        <v>257.67</v>
      </c>
      <c r="I52" s="107">
        <f t="shared" si="29"/>
        <v>257.67</v>
      </c>
      <c r="J52" s="107">
        <f t="shared" si="29"/>
        <v>257.67</v>
      </c>
      <c r="K52" s="125"/>
      <c r="L52" s="125"/>
    </row>
    <row r="53" spans="1:12" ht="14.5">
      <c r="A53" s="2"/>
      <c r="B53" s="1" t="s">
        <v>79</v>
      </c>
      <c r="C53" s="138">
        <v>32752.01</v>
      </c>
      <c r="D53" s="138">
        <v>25572.42</v>
      </c>
      <c r="E53" s="138">
        <v>21707.61</v>
      </c>
      <c r="F53" s="119">
        <f>Assumptions!F37*Assumptions!F39</f>
        <v>22476.753306269391</v>
      </c>
      <c r="G53" s="119">
        <f>Assumptions!G37*Assumptions!G39</f>
        <v>23771.818433810815</v>
      </c>
      <c r="H53" s="119">
        <f>Assumptions!H37*Assumptions!H39</f>
        <v>25334.6534786786</v>
      </c>
      <c r="I53" s="119">
        <f>Assumptions!I37*Assumptions!I39</f>
        <v>27226.133915209921</v>
      </c>
      <c r="J53" s="119">
        <f>Assumptions!J37*Assumptions!J39</f>
        <v>29522.43645191468</v>
      </c>
    </row>
    <row r="54" spans="1:12" ht="14.5">
      <c r="A54" s="2"/>
      <c r="B54" s="1" t="s">
        <v>80</v>
      </c>
      <c r="C54" s="138">
        <v>65983.56</v>
      </c>
      <c r="D54" s="138">
        <v>64233.23</v>
      </c>
      <c r="E54" s="138">
        <v>72530.47</v>
      </c>
      <c r="F54" s="119">
        <f>Assumptions!F37*Assumptions!F40</f>
        <v>75100.367169751669</v>
      </c>
      <c r="G54" s="119">
        <f>Assumptions!G37*Assumptions!G40</f>
        <v>79427.498640290782</v>
      </c>
      <c r="H54" s="119">
        <f>Assumptions!H37*Assumptions!H40</f>
        <v>84649.315336681189</v>
      </c>
      <c r="I54" s="119">
        <f>Assumptions!I37*Assumptions!I40</f>
        <v>90969.217207841662</v>
      </c>
      <c r="J54" s="119">
        <f>Assumptions!J37*Assumptions!J40</f>
        <v>98641.729393632209</v>
      </c>
    </row>
    <row r="55" spans="1:12" ht="14.5">
      <c r="A55" s="2"/>
      <c r="B55" s="1" t="s">
        <v>81</v>
      </c>
      <c r="C55" s="138">
        <v>0</v>
      </c>
      <c r="D55" s="138">
        <v>0</v>
      </c>
      <c r="E55" s="138">
        <v>0</v>
      </c>
      <c r="F55" s="119">
        <f>IS!F4*Assumptions!F41</f>
        <v>0</v>
      </c>
      <c r="G55" s="119">
        <f>IS!G4*Assumptions!G41</f>
        <v>0</v>
      </c>
      <c r="H55" s="119">
        <f>IS!H4*Assumptions!H41</f>
        <v>0</v>
      </c>
      <c r="I55" s="119">
        <f>IS!I4*Assumptions!I41</f>
        <v>0</v>
      </c>
      <c r="J55" s="119">
        <f>IS!J4*Assumptions!J41</f>
        <v>0</v>
      </c>
    </row>
    <row r="56" spans="1:12" ht="14.5">
      <c r="A56" s="2"/>
      <c r="B56" s="1" t="s">
        <v>82</v>
      </c>
      <c r="C56" s="138">
        <v>23916.6</v>
      </c>
      <c r="D56" s="138">
        <v>27960.04</v>
      </c>
      <c r="E56" s="138">
        <v>41765.480000000003</v>
      </c>
      <c r="F56" s="119">
        <f>IS!F4*Assumptions!F42</f>
        <v>43803.871000836938</v>
      </c>
      <c r="G56" s="119">
        <f>IS!G4*Assumptions!G42</f>
        <v>46271.408615482833</v>
      </c>
      <c r="H56" s="119">
        <f>IS!H4*Assumptions!H42</f>
        <v>49266.563789908396</v>
      </c>
      <c r="I56" s="119">
        <f>IS!I4*Assumptions!I42</f>
        <v>52912.929610918523</v>
      </c>
      <c r="J56" s="119">
        <f>IS!J4*Assumptions!J42</f>
        <v>57366.042545019889</v>
      </c>
    </row>
    <row r="57" spans="1:12" ht="14.5">
      <c r="A57" s="2"/>
      <c r="B57" s="1" t="s">
        <v>83</v>
      </c>
      <c r="C57" s="138">
        <v>7535.17</v>
      </c>
      <c r="D57" s="138">
        <v>7152.22</v>
      </c>
      <c r="E57" s="138">
        <v>9076.0300000000007</v>
      </c>
      <c r="F57" s="119">
        <f>IS!F4*Assumptions!F43</f>
        <v>9518.9914570531946</v>
      </c>
      <c r="G57" s="119">
        <f>IS!G4*Assumptions!G43</f>
        <v>10055.210492885049</v>
      </c>
      <c r="H57" s="119">
        <f>IS!H4*Assumptions!H43</f>
        <v>10706.085766382244</v>
      </c>
      <c r="I57" s="119">
        <f>IS!I4*Assumptions!I43</f>
        <v>11498.475212941043</v>
      </c>
      <c r="J57" s="119">
        <f>IS!J4*Assumptions!J43</f>
        <v>12466.178363564284</v>
      </c>
    </row>
    <row r="58" spans="1:12" ht="14.5">
      <c r="A58" s="2"/>
      <c r="B58" s="1" t="s">
        <v>84</v>
      </c>
      <c r="C58" s="138">
        <v>5404.27</v>
      </c>
      <c r="D58" s="138">
        <v>4955.34</v>
      </c>
      <c r="E58" s="138">
        <v>5455.1</v>
      </c>
      <c r="F58" s="107">
        <f>E58</f>
        <v>5455.1</v>
      </c>
      <c r="G58" s="107">
        <f t="shared" ref="G58:J58" si="30">F58</f>
        <v>5455.1</v>
      </c>
      <c r="H58" s="107">
        <f t="shared" si="30"/>
        <v>5455.1</v>
      </c>
      <c r="I58" s="107">
        <f t="shared" si="30"/>
        <v>5455.1</v>
      </c>
      <c r="J58" s="107">
        <f t="shared" si="30"/>
        <v>5455.1</v>
      </c>
      <c r="L58" s="125" t="s">
        <v>85</v>
      </c>
    </row>
    <row r="59" spans="1:12" ht="14.5">
      <c r="A59" s="2"/>
      <c r="B59" s="1" t="s">
        <v>86</v>
      </c>
      <c r="C59" s="138">
        <v>4288.1000000000004</v>
      </c>
      <c r="D59" s="138">
        <v>4322.03</v>
      </c>
      <c r="E59" s="138">
        <v>4442.93</v>
      </c>
      <c r="F59" s="107">
        <f>AVERAGE(C59:E59)</f>
        <v>4351.0200000000004</v>
      </c>
      <c r="G59" s="107">
        <f t="shared" ref="G59:J62" si="31">F59</f>
        <v>4351.0200000000004</v>
      </c>
      <c r="H59" s="107">
        <f t="shared" si="31"/>
        <v>4351.0200000000004</v>
      </c>
      <c r="I59" s="107">
        <f t="shared" si="31"/>
        <v>4351.0200000000004</v>
      </c>
      <c r="J59" s="107">
        <f t="shared" si="31"/>
        <v>4351.0200000000004</v>
      </c>
      <c r="L59" s="125" t="s">
        <v>46</v>
      </c>
    </row>
    <row r="60" spans="1:12" ht="14.5">
      <c r="A60" s="2"/>
      <c r="B60" s="1" t="s">
        <v>87</v>
      </c>
      <c r="C60" s="162">
        <v>0</v>
      </c>
      <c r="D60" s="162">
        <v>0</v>
      </c>
      <c r="E60" s="162">
        <v>0</v>
      </c>
      <c r="F60" s="107">
        <f>E60</f>
        <v>0</v>
      </c>
      <c r="G60" s="107">
        <f t="shared" ref="G60" si="32">F60</f>
        <v>0</v>
      </c>
      <c r="H60" s="107">
        <f t="shared" ref="H60" si="33">G60</f>
        <v>0</v>
      </c>
      <c r="I60" s="107">
        <f t="shared" ref="I60" si="34">H60</f>
        <v>0</v>
      </c>
      <c r="J60" s="107">
        <f t="shared" ref="J60" si="35">I60</f>
        <v>0</v>
      </c>
      <c r="K60" s="125"/>
      <c r="L60" s="125"/>
    </row>
    <row r="61" spans="1:12" ht="14.5">
      <c r="A61" s="2"/>
      <c r="B61" s="1" t="s">
        <v>88</v>
      </c>
      <c r="C61" s="138">
        <v>28947.54</v>
      </c>
      <c r="D61" s="138">
        <v>7240.63</v>
      </c>
      <c r="E61" s="138">
        <v>14457.71</v>
      </c>
      <c r="F61" s="107">
        <f>E61</f>
        <v>14457.71</v>
      </c>
      <c r="G61" s="107">
        <f t="shared" si="31"/>
        <v>14457.71</v>
      </c>
      <c r="H61" s="107">
        <f t="shared" si="31"/>
        <v>14457.71</v>
      </c>
      <c r="I61" s="107">
        <f t="shared" si="31"/>
        <v>14457.71</v>
      </c>
      <c r="J61" s="107">
        <f t="shared" si="31"/>
        <v>14457.71</v>
      </c>
    </row>
    <row r="62" spans="1:12" ht="14.5">
      <c r="A62" s="2"/>
      <c r="B62" s="1" t="s">
        <v>89</v>
      </c>
      <c r="C62" s="138">
        <v>48227.95</v>
      </c>
      <c r="D62" s="138">
        <v>57843.53</v>
      </c>
      <c r="E62" s="138">
        <v>71297.929999999993</v>
      </c>
      <c r="F62" s="107">
        <f>E62</f>
        <v>71297.929999999993</v>
      </c>
      <c r="G62" s="107">
        <f t="shared" si="31"/>
        <v>71297.929999999993</v>
      </c>
      <c r="H62" s="107">
        <f t="shared" si="31"/>
        <v>71297.929999999993</v>
      </c>
      <c r="I62" s="107">
        <f t="shared" si="31"/>
        <v>71297.929999999993</v>
      </c>
      <c r="J62" s="107">
        <f t="shared" si="31"/>
        <v>71297.929999999993</v>
      </c>
    </row>
    <row r="63" spans="1:12" ht="14.5">
      <c r="A63" s="2"/>
      <c r="B63" s="159" t="s">
        <v>90</v>
      </c>
      <c r="C63" s="141">
        <f t="shared" ref="C63:J63" si="36">SUM(C49:C62)</f>
        <v>222851.48000000004</v>
      </c>
      <c r="D63" s="141">
        <f t="shared" si="36"/>
        <v>206341.77</v>
      </c>
      <c r="E63" s="141">
        <f t="shared" si="36"/>
        <v>251245.74</v>
      </c>
      <c r="F63" s="141">
        <f t="shared" ca="1" si="36"/>
        <v>256974.22293391119</v>
      </c>
      <c r="G63" s="141">
        <f t="shared" ca="1" si="36"/>
        <v>265600.17618246947</v>
      </c>
      <c r="H63" s="141">
        <f t="shared" ca="1" si="36"/>
        <v>276030.85837165045</v>
      </c>
      <c r="I63" s="141">
        <f t="shared" ca="1" si="36"/>
        <v>288680.99594691111</v>
      </c>
      <c r="J63" s="141">
        <f t="shared" ca="1" si="36"/>
        <v>304070.62675413105</v>
      </c>
    </row>
    <row r="64" spans="1:12" ht="13">
      <c r="A64" s="2"/>
      <c r="B64" s="56"/>
      <c r="C64" s="129"/>
      <c r="D64" s="129"/>
      <c r="E64" s="129"/>
      <c r="F64" s="129"/>
      <c r="G64" s="129"/>
      <c r="H64" s="129"/>
      <c r="I64" s="129"/>
      <c r="J64" s="129"/>
    </row>
    <row r="65" spans="1:12" ht="14.5">
      <c r="A65" s="2"/>
      <c r="B65" s="56" t="s">
        <v>91</v>
      </c>
      <c r="C65" s="119"/>
      <c r="D65" s="119"/>
      <c r="E65" s="119"/>
      <c r="F65" s="119"/>
      <c r="G65" s="119"/>
      <c r="H65" s="119"/>
      <c r="I65" s="119"/>
      <c r="J65" s="119"/>
    </row>
    <row r="66" spans="1:12" ht="14.5">
      <c r="A66" s="2"/>
      <c r="B66" s="1" t="s">
        <v>92</v>
      </c>
      <c r="C66" s="138">
        <v>19734.02</v>
      </c>
      <c r="D66" s="138">
        <v>50685.95</v>
      </c>
      <c r="E66" s="138">
        <v>46138.74</v>
      </c>
      <c r="F66" s="161">
        <f>Assumptions!F59</f>
        <v>46138.74</v>
      </c>
      <c r="G66" s="161">
        <f>Assumptions!G59</f>
        <v>46138.74</v>
      </c>
      <c r="H66" s="161">
        <f>Assumptions!H59</f>
        <v>46138.74</v>
      </c>
      <c r="I66" s="161">
        <f>Assumptions!I59</f>
        <v>46138.74</v>
      </c>
      <c r="J66" s="161">
        <f>Assumptions!J59</f>
        <v>46138.74</v>
      </c>
    </row>
    <row r="67" spans="1:12" ht="14.5">
      <c r="A67" s="2"/>
      <c r="B67" s="1" t="s">
        <v>93</v>
      </c>
      <c r="C67" s="138">
        <v>0</v>
      </c>
      <c r="D67" s="138">
        <v>3163.62</v>
      </c>
      <c r="E67" s="138">
        <v>3217.97</v>
      </c>
      <c r="F67" s="107">
        <f t="shared" ref="F67:F73" si="37">E67</f>
        <v>3217.97</v>
      </c>
      <c r="G67" s="107">
        <f t="shared" ref="G67:J67" si="38">F67</f>
        <v>3217.97</v>
      </c>
      <c r="H67" s="107">
        <f t="shared" si="38"/>
        <v>3217.97</v>
      </c>
      <c r="I67" s="107">
        <f t="shared" si="38"/>
        <v>3217.97</v>
      </c>
      <c r="J67" s="107">
        <f t="shared" si="38"/>
        <v>3217.97</v>
      </c>
    </row>
    <row r="68" spans="1:12" ht="14.5">
      <c r="A68" s="2"/>
      <c r="B68" s="1" t="s">
        <v>94</v>
      </c>
      <c r="C68" s="162">
        <v>1533.55</v>
      </c>
      <c r="D68" s="162">
        <v>1507.48</v>
      </c>
      <c r="E68" s="162">
        <v>2047.32</v>
      </c>
      <c r="F68" s="119">
        <f>Assumptions!F69</f>
        <v>2047.32</v>
      </c>
      <c r="G68" s="119">
        <f>Assumptions!G69</f>
        <v>2047.32</v>
      </c>
      <c r="H68" s="119">
        <f>Assumptions!H69</f>
        <v>2047.32</v>
      </c>
      <c r="I68" s="119">
        <f>Assumptions!I69</f>
        <v>2047.32</v>
      </c>
      <c r="J68" s="119">
        <f>Assumptions!J69</f>
        <v>2047.32</v>
      </c>
      <c r="K68" s="125"/>
      <c r="L68" s="125"/>
    </row>
    <row r="69" spans="1:12" ht="14.5">
      <c r="A69" s="2"/>
      <c r="B69" s="167" t="s">
        <v>95</v>
      </c>
      <c r="C69" s="138">
        <v>1825.02</v>
      </c>
      <c r="D69" s="138">
        <v>1488.46</v>
      </c>
      <c r="E69" s="138">
        <v>1433.87</v>
      </c>
      <c r="F69" s="107">
        <f>E69</f>
        <v>1433.87</v>
      </c>
      <c r="G69" s="107">
        <f t="shared" ref="G69:J69" si="39">F69</f>
        <v>1433.87</v>
      </c>
      <c r="H69" s="107">
        <f t="shared" si="39"/>
        <v>1433.87</v>
      </c>
      <c r="I69" s="107">
        <f t="shared" si="39"/>
        <v>1433.87</v>
      </c>
      <c r="J69" s="107">
        <f t="shared" si="39"/>
        <v>1433.87</v>
      </c>
    </row>
    <row r="70" spans="1:12" ht="14.5">
      <c r="A70" s="2"/>
      <c r="B70" s="1" t="s">
        <v>96</v>
      </c>
      <c r="C70" s="138">
        <v>310.57</v>
      </c>
      <c r="D70" s="138">
        <v>394.98</v>
      </c>
      <c r="E70" s="138">
        <v>782.54</v>
      </c>
      <c r="F70" s="107">
        <f t="shared" si="37"/>
        <v>782.54</v>
      </c>
      <c r="G70" s="107">
        <f t="shared" ref="G70:J70" si="40">F70</f>
        <v>782.54</v>
      </c>
      <c r="H70" s="107">
        <f t="shared" si="40"/>
        <v>782.54</v>
      </c>
      <c r="I70" s="107">
        <f t="shared" si="40"/>
        <v>782.54</v>
      </c>
      <c r="J70" s="107">
        <f t="shared" si="40"/>
        <v>782.54</v>
      </c>
    </row>
    <row r="71" spans="1:12" ht="14.5">
      <c r="A71" s="2"/>
      <c r="B71" s="1" t="s">
        <v>97</v>
      </c>
      <c r="C71" s="138">
        <v>1228.46</v>
      </c>
      <c r="D71" s="138">
        <v>1721.09</v>
      </c>
      <c r="E71" s="138">
        <v>1734.93</v>
      </c>
      <c r="F71" s="107">
        <f t="shared" si="37"/>
        <v>1734.93</v>
      </c>
      <c r="G71" s="107">
        <f>F71</f>
        <v>1734.93</v>
      </c>
      <c r="H71" s="107">
        <f>G71</f>
        <v>1734.93</v>
      </c>
      <c r="I71" s="107">
        <f>H71</f>
        <v>1734.93</v>
      </c>
      <c r="J71" s="107">
        <f>I71</f>
        <v>1734.93</v>
      </c>
      <c r="L71" s="106" t="s">
        <v>98</v>
      </c>
    </row>
    <row r="72" spans="1:12" ht="14.5">
      <c r="A72" s="2"/>
      <c r="B72" s="1" t="s">
        <v>99</v>
      </c>
      <c r="C72" s="138">
        <v>4950.25</v>
      </c>
      <c r="D72" s="138">
        <v>4647.67</v>
      </c>
      <c r="E72" s="138">
        <v>5098.28</v>
      </c>
      <c r="F72" s="107">
        <f t="shared" si="37"/>
        <v>5098.28</v>
      </c>
      <c r="G72" s="107">
        <f t="shared" ref="G72:J72" si="41">F72</f>
        <v>5098.28</v>
      </c>
      <c r="H72" s="107">
        <f t="shared" si="41"/>
        <v>5098.28</v>
      </c>
      <c r="I72" s="107">
        <f t="shared" si="41"/>
        <v>5098.28</v>
      </c>
      <c r="J72" s="107">
        <f t="shared" si="41"/>
        <v>5098.28</v>
      </c>
      <c r="L72" s="125"/>
    </row>
    <row r="73" spans="1:12" ht="14.5">
      <c r="A73" s="2"/>
      <c r="B73" s="1" t="s">
        <v>100</v>
      </c>
      <c r="C73" s="138">
        <v>687.69</v>
      </c>
      <c r="D73" s="138">
        <v>680.48</v>
      </c>
      <c r="E73" s="138">
        <v>39.17</v>
      </c>
      <c r="F73" s="107">
        <f t="shared" si="37"/>
        <v>39.17</v>
      </c>
      <c r="G73" s="107">
        <f t="shared" ref="G73:J73" si="42">F73</f>
        <v>39.17</v>
      </c>
      <c r="H73" s="107">
        <f t="shared" si="42"/>
        <v>39.17</v>
      </c>
      <c r="I73" s="107">
        <f t="shared" si="42"/>
        <v>39.17</v>
      </c>
      <c r="J73" s="107">
        <f t="shared" si="42"/>
        <v>39.17</v>
      </c>
      <c r="L73" s="106" t="s">
        <v>101</v>
      </c>
    </row>
    <row r="74" spans="1:12" ht="14.5">
      <c r="A74" s="2"/>
      <c r="B74" s="159" t="s">
        <v>102</v>
      </c>
      <c r="C74" s="141">
        <f t="shared" ref="C74:J74" si="43">SUM(C66:C73)</f>
        <v>30269.559999999998</v>
      </c>
      <c r="D74" s="141">
        <f t="shared" si="43"/>
        <v>64289.73</v>
      </c>
      <c r="E74" s="141">
        <f t="shared" si="43"/>
        <v>60492.82</v>
      </c>
      <c r="F74" s="141">
        <f t="shared" si="43"/>
        <v>60492.82</v>
      </c>
      <c r="G74" s="141">
        <f t="shared" si="43"/>
        <v>60492.82</v>
      </c>
      <c r="H74" s="141">
        <f t="shared" si="43"/>
        <v>60492.82</v>
      </c>
      <c r="I74" s="141">
        <f t="shared" si="43"/>
        <v>60492.82</v>
      </c>
      <c r="J74" s="141">
        <f t="shared" si="43"/>
        <v>60492.82</v>
      </c>
    </row>
    <row r="75" spans="1:12" ht="13">
      <c r="A75" s="2"/>
      <c r="B75" s="56"/>
      <c r="C75" s="129"/>
      <c r="D75" s="129"/>
      <c r="E75" s="129"/>
      <c r="F75" s="129"/>
      <c r="G75" s="129"/>
      <c r="H75" s="129"/>
      <c r="I75" s="129"/>
      <c r="J75" s="129"/>
    </row>
    <row r="76" spans="1:12" ht="14.5">
      <c r="A76" s="2"/>
      <c r="B76" s="56" t="s">
        <v>103</v>
      </c>
      <c r="C76" s="129">
        <f t="shared" ref="C76:J76" si="44">C63+C74</f>
        <v>253121.04000000004</v>
      </c>
      <c r="D76" s="129">
        <f t="shared" si="44"/>
        <v>270631.5</v>
      </c>
      <c r="E76" s="129">
        <f t="shared" si="44"/>
        <v>311738.56</v>
      </c>
      <c r="F76" s="129">
        <f t="shared" ca="1" si="44"/>
        <v>317467.0429339112</v>
      </c>
      <c r="G76" s="129">
        <f t="shared" ca="1" si="44"/>
        <v>326092.99618246948</v>
      </c>
      <c r="H76" s="129">
        <f t="shared" ca="1" si="44"/>
        <v>336523.67837165046</v>
      </c>
      <c r="I76" s="129">
        <f t="shared" ca="1" si="44"/>
        <v>349173.81594691111</v>
      </c>
      <c r="J76" s="129">
        <f t="shared" ca="1" si="44"/>
        <v>364563.44675413106</v>
      </c>
    </row>
    <row r="77" spans="1:12" ht="13">
      <c r="A77" s="2"/>
      <c r="B77" s="56"/>
      <c r="C77" s="129"/>
      <c r="D77" s="129"/>
      <c r="E77" s="129"/>
      <c r="F77" s="129"/>
      <c r="G77" s="129"/>
      <c r="H77" s="129"/>
      <c r="I77" s="129"/>
      <c r="J77" s="129"/>
    </row>
    <row r="78" spans="1:12" ht="14.5">
      <c r="A78" s="2"/>
      <c r="B78" s="56" t="s">
        <v>104</v>
      </c>
      <c r="C78" s="119"/>
      <c r="D78" s="119"/>
      <c r="E78" s="119"/>
      <c r="F78" s="119"/>
      <c r="G78" s="119"/>
      <c r="H78" s="119"/>
      <c r="I78" s="119"/>
      <c r="J78" s="119"/>
    </row>
    <row r="79" spans="1:12" ht="14.5">
      <c r="A79" s="2"/>
      <c r="B79" s="1" t="s">
        <v>105</v>
      </c>
      <c r="C79" s="138">
        <v>6986.56</v>
      </c>
      <c r="D79" s="138">
        <v>6997.27</v>
      </c>
      <c r="E79" s="138">
        <v>7025.77</v>
      </c>
      <c r="F79" s="107">
        <f t="shared" ref="F79:F84" si="45">E79</f>
        <v>7025.77</v>
      </c>
      <c r="G79" s="107">
        <f t="shared" ref="G79:J81" si="46">F79</f>
        <v>7025.77</v>
      </c>
      <c r="H79" s="107">
        <f t="shared" si="46"/>
        <v>7025.77</v>
      </c>
      <c r="I79" s="107">
        <f t="shared" si="46"/>
        <v>7025.77</v>
      </c>
      <c r="J79" s="107">
        <f t="shared" si="46"/>
        <v>7025.77</v>
      </c>
      <c r="L79" s="106" t="s">
        <v>106</v>
      </c>
    </row>
    <row r="80" spans="1:12" ht="14.5">
      <c r="A80" s="2"/>
      <c r="B80" s="1" t="s">
        <v>107</v>
      </c>
      <c r="C80" s="138">
        <v>0</v>
      </c>
      <c r="D80" s="138">
        <v>0</v>
      </c>
      <c r="E80" s="138">
        <v>0</v>
      </c>
      <c r="F80" s="107">
        <f t="shared" si="45"/>
        <v>0</v>
      </c>
      <c r="G80" s="107">
        <f t="shared" si="46"/>
        <v>0</v>
      </c>
      <c r="H80" s="107">
        <f t="shared" si="46"/>
        <v>0</v>
      </c>
      <c r="I80" s="107">
        <f t="shared" si="46"/>
        <v>0</v>
      </c>
      <c r="J80" s="107">
        <f t="shared" si="46"/>
        <v>0</v>
      </c>
    </row>
    <row r="81" spans="1:12" ht="14.5">
      <c r="A81" s="2"/>
      <c r="B81" s="1" t="s">
        <v>108</v>
      </c>
      <c r="C81" s="138">
        <v>20516.93</v>
      </c>
      <c r="D81" s="138">
        <v>19693.14</v>
      </c>
      <c r="E81" s="138">
        <v>21243.16</v>
      </c>
      <c r="F81" s="107">
        <f t="shared" si="45"/>
        <v>21243.16</v>
      </c>
      <c r="G81" s="107">
        <f t="shared" ref="G81:J82" si="47">F81</f>
        <v>21243.16</v>
      </c>
      <c r="H81" s="107">
        <f t="shared" si="46"/>
        <v>21243.16</v>
      </c>
      <c r="I81" s="107">
        <f t="shared" si="46"/>
        <v>21243.16</v>
      </c>
      <c r="J81" s="107">
        <f t="shared" si="46"/>
        <v>21243.16</v>
      </c>
    </row>
    <row r="82" spans="1:12" ht="14.5">
      <c r="A82" s="2"/>
      <c r="B82" s="1" t="s">
        <v>109</v>
      </c>
      <c r="C82" s="138">
        <v>-14044.55</v>
      </c>
      <c r="D82" s="138">
        <v>-14933.94</v>
      </c>
      <c r="E82" s="138">
        <v>-12871.74</v>
      </c>
      <c r="F82" s="107">
        <f t="shared" si="45"/>
        <v>-12871.74</v>
      </c>
      <c r="G82" s="107">
        <f t="shared" si="47"/>
        <v>-12871.74</v>
      </c>
      <c r="H82" s="107">
        <f t="shared" si="47"/>
        <v>-12871.74</v>
      </c>
      <c r="I82" s="107">
        <f t="shared" si="47"/>
        <v>-12871.74</v>
      </c>
      <c r="J82" s="107">
        <f t="shared" si="47"/>
        <v>-12871.74</v>
      </c>
    </row>
    <row r="83" spans="1:12" ht="14.5">
      <c r="A83" s="2"/>
      <c r="B83" s="1" t="s">
        <v>110</v>
      </c>
      <c r="C83" s="138">
        <v>-1758.95</v>
      </c>
      <c r="D83" s="138">
        <v>108.29</v>
      </c>
      <c r="E83" s="138">
        <v>-164.2</v>
      </c>
      <c r="F83" s="107">
        <f t="shared" si="45"/>
        <v>-164.2</v>
      </c>
      <c r="G83" s="107">
        <f t="shared" ref="G83:J83" si="48">F83</f>
        <v>-164.2</v>
      </c>
      <c r="H83" s="107">
        <f t="shared" si="48"/>
        <v>-164.2</v>
      </c>
      <c r="I83" s="107">
        <f t="shared" si="48"/>
        <v>-164.2</v>
      </c>
      <c r="J83" s="107">
        <f t="shared" si="48"/>
        <v>-164.2</v>
      </c>
    </row>
    <row r="84" spans="1:12" ht="14.5">
      <c r="A84" s="2"/>
      <c r="B84" s="1" t="s">
        <v>111</v>
      </c>
      <c r="C84" s="162">
        <v>735.46</v>
      </c>
      <c r="D84" s="162">
        <v>688.35</v>
      </c>
      <c r="E84" s="162">
        <v>658.57</v>
      </c>
      <c r="F84" s="107">
        <f t="shared" si="45"/>
        <v>658.57</v>
      </c>
      <c r="G84" s="107">
        <f t="shared" ref="G84" si="49">F84</f>
        <v>658.57</v>
      </c>
      <c r="H84" s="107">
        <f t="shared" ref="H84" si="50">G84</f>
        <v>658.57</v>
      </c>
      <c r="I84" s="107">
        <f t="shared" ref="I84" si="51">H84</f>
        <v>658.57</v>
      </c>
      <c r="J84" s="107">
        <f t="shared" ref="J84" si="52">I84</f>
        <v>658.57</v>
      </c>
      <c r="K84" s="125"/>
      <c r="L84" s="125"/>
    </row>
    <row r="85" spans="1:12" ht="14.5">
      <c r="A85" s="2"/>
      <c r="B85" s="1" t="s">
        <v>112</v>
      </c>
      <c r="C85" s="138">
        <v>9449.9</v>
      </c>
      <c r="D85" s="138">
        <v>10702.93</v>
      </c>
      <c r="E85" s="138">
        <v>10702.93</v>
      </c>
      <c r="F85" s="119">
        <f ca="1">E85+IS!F26*10%</f>
        <v>14205.134321249983</v>
      </c>
      <c r="G85" s="119">
        <f ca="1">F85+IS!G26*10%</f>
        <v>17854.897157484596</v>
      </c>
      <c r="H85" s="119">
        <f ca="1">G85+IS!H26*10%</f>
        <v>21690.728644156057</v>
      </c>
      <c r="I85" s="119">
        <f ca="1">H85+IS!I26*10%</f>
        <v>25765.319333496373</v>
      </c>
      <c r="J85" s="119">
        <f ca="1">I85+IS!J26*10%</f>
        <v>30145.844464141876</v>
      </c>
      <c r="L85" s="106" t="s">
        <v>113</v>
      </c>
    </row>
    <row r="86" spans="1:12" ht="14.5">
      <c r="A86" s="2"/>
      <c r="B86" s="1" t="s">
        <v>114</v>
      </c>
      <c r="C86" s="138">
        <v>102982.76</v>
      </c>
      <c r="D86" s="138">
        <v>119679.2</v>
      </c>
      <c r="E86" s="138">
        <v>136284.35</v>
      </c>
      <c r="F86" s="119">
        <f ca="1">E86+IS!F26*(1-10%)+IS!F27</f>
        <v>153540.6953286576</v>
      </c>
      <c r="G86" s="119">
        <f ca="1">F86+IS!G26*(1-10%)+IS!G27</f>
        <v>171524.10294643082</v>
      </c>
      <c r="H86" s="119">
        <f ca="1">G86+IS!H26*(1-10%)+IS!H27</f>
        <v>190424.32311774162</v>
      </c>
      <c r="I86" s="119">
        <f ca="1">H86+IS!I26*(1-10%)+IS!I27</f>
        <v>210500.97700728226</v>
      </c>
      <c r="J86" s="119">
        <f ca="1">I86+IS!J26*(1-10%)+IS!J27</f>
        <v>232085.0559020002</v>
      </c>
    </row>
    <row r="87" spans="1:12" ht="14.5">
      <c r="A87" s="2"/>
      <c r="B87" s="159" t="s">
        <v>115</v>
      </c>
      <c r="C87" s="141">
        <f>SUM(C79:C86)</f>
        <v>124868.10999999999</v>
      </c>
      <c r="D87" s="141">
        <f t="shared" ref="D87:J87" si="53">SUM(D79:D86)</f>
        <v>142935.24</v>
      </c>
      <c r="E87" s="141">
        <f t="shared" si="53"/>
        <v>162878.84</v>
      </c>
      <c r="F87" s="141">
        <f t="shared" ca="1" si="53"/>
        <v>183637.38964990759</v>
      </c>
      <c r="G87" s="141">
        <f t="shared" ca="1" si="53"/>
        <v>205270.56010391543</v>
      </c>
      <c r="H87" s="141">
        <f t="shared" ca="1" si="53"/>
        <v>228006.61176189769</v>
      </c>
      <c r="I87" s="141">
        <f t="shared" ca="1" si="53"/>
        <v>252157.85634077864</v>
      </c>
      <c r="J87" s="141">
        <f t="shared" ca="1" si="53"/>
        <v>278122.4603661421</v>
      </c>
    </row>
    <row r="88" spans="1:12" ht="14.5">
      <c r="A88" s="2"/>
      <c r="B88" s="1" t="s">
        <v>116</v>
      </c>
      <c r="C88" s="138">
        <v>9956.9500000000007</v>
      </c>
      <c r="D88" s="138">
        <v>8988.57</v>
      </c>
      <c r="E88" s="138">
        <v>11420.82</v>
      </c>
      <c r="F88" s="119">
        <f>E88+IS!F25</f>
        <v>11447.480639380687</v>
      </c>
      <c r="G88" s="119">
        <f>F88+IS!G25</f>
        <v>11475.643112480615</v>
      </c>
      <c r="H88" s="119">
        <f>G88+IS!H25</f>
        <v>11505.628546660695</v>
      </c>
      <c r="I88" s="119">
        <f>H88+IS!I25</f>
        <v>11537.833292558733</v>
      </c>
      <c r="J88" s="119">
        <f>I88+IS!J25</f>
        <v>11572.748365999632</v>
      </c>
    </row>
    <row r="89" spans="1:12" ht="14.5">
      <c r="A89" s="2"/>
      <c r="B89" s="56" t="s">
        <v>117</v>
      </c>
      <c r="C89" s="118">
        <f>C87+C88</f>
        <v>134825.06</v>
      </c>
      <c r="D89" s="118">
        <f t="shared" ref="D89:J89" si="54">D87+D88</f>
        <v>151923.81</v>
      </c>
      <c r="E89" s="118">
        <f t="shared" si="54"/>
        <v>174299.66</v>
      </c>
      <c r="F89" s="118">
        <f t="shared" ca="1" si="54"/>
        <v>195084.87028928829</v>
      </c>
      <c r="G89" s="118">
        <f t="shared" ca="1" si="54"/>
        <v>216746.20321639604</v>
      </c>
      <c r="H89" s="118">
        <f t="shared" ca="1" si="54"/>
        <v>239512.24030855839</v>
      </c>
      <c r="I89" s="118">
        <f t="shared" ca="1" si="54"/>
        <v>263695.68963333737</v>
      </c>
      <c r="J89" s="118">
        <f t="shared" ca="1" si="54"/>
        <v>289695.20873214171</v>
      </c>
    </row>
    <row r="90" spans="1:12" ht="13">
      <c r="A90" s="2"/>
      <c r="B90" s="56"/>
      <c r="C90" s="118"/>
      <c r="D90" s="118"/>
      <c r="E90" s="118"/>
      <c r="F90" s="118"/>
      <c r="G90" s="118"/>
      <c r="H90" s="118"/>
      <c r="I90" s="118"/>
      <c r="J90" s="118"/>
    </row>
    <row r="91" spans="1:12" ht="14.5">
      <c r="A91" s="2"/>
      <c r="B91" s="56" t="s">
        <v>118</v>
      </c>
      <c r="C91" s="118">
        <f>C76+C89</f>
        <v>387946.10000000003</v>
      </c>
      <c r="D91" s="118">
        <f t="shared" ref="D91:J91" si="55">D76+D89</f>
        <v>422555.31</v>
      </c>
      <c r="E91" s="118">
        <f t="shared" si="55"/>
        <v>486038.22</v>
      </c>
      <c r="F91" s="118">
        <f t="shared" ca="1" si="55"/>
        <v>512551.91322319949</v>
      </c>
      <c r="G91" s="118">
        <f t="shared" ca="1" si="55"/>
        <v>542839.19939886546</v>
      </c>
      <c r="H91" s="118">
        <f t="shared" ca="1" si="55"/>
        <v>576035.91868020885</v>
      </c>
      <c r="I91" s="118">
        <f t="shared" ca="1" si="55"/>
        <v>612869.50558024854</v>
      </c>
      <c r="J91" s="118">
        <f t="shared" ca="1" si="55"/>
        <v>654258.65548627276</v>
      </c>
    </row>
    <row r="92" spans="1:12" ht="13">
      <c r="A92" s="2"/>
      <c r="B92" s="56"/>
      <c r="C92" s="118"/>
      <c r="D92" s="118"/>
      <c r="E92" s="118"/>
      <c r="F92" s="118"/>
      <c r="G92" s="118"/>
      <c r="H92" s="118"/>
      <c r="I92" s="118"/>
      <c r="J92" s="118"/>
    </row>
    <row r="93" spans="1:12" s="106" customFormat="1">
      <c r="A93" s="2"/>
      <c r="B93" s="168" t="s">
        <v>119</v>
      </c>
      <c r="C93" s="168" t="str">
        <f>IF(ABS(C46-C91)&lt;0.1,"OK",C46-C91)</f>
        <v>OK</v>
      </c>
      <c r="D93" s="168" t="str">
        <f t="shared" ref="D93:J93" si="56">IF(ABS(D46-D91)&lt;0.1,"OK",D46-D91)</f>
        <v>OK</v>
      </c>
      <c r="E93" s="168" t="str">
        <f t="shared" si="56"/>
        <v>OK</v>
      </c>
      <c r="F93" s="168" t="str">
        <f t="shared" ca="1" si="56"/>
        <v>OK</v>
      </c>
      <c r="G93" s="168" t="str">
        <f t="shared" ca="1" si="56"/>
        <v>OK</v>
      </c>
      <c r="H93" s="168" t="str">
        <f t="shared" ca="1" si="56"/>
        <v>OK</v>
      </c>
      <c r="I93" s="168" t="str">
        <f t="shared" ca="1" si="56"/>
        <v>OK</v>
      </c>
      <c r="J93" s="168" t="str">
        <f t="shared" ca="1" si="56"/>
        <v>OK</v>
      </c>
      <c r="K93" s="168" t="s">
        <v>119</v>
      </c>
      <c r="L93" s="169"/>
    </row>
    <row r="125" s="56" customFormat="1" ht="13"/>
    <row r="197" s="160" customFormat="1"/>
    <row r="334" s="1" customFormat="1"/>
  </sheetData>
  <sheetProtection formatCells="0" insertHyperlinks="0" autoFilter="0"/>
  <phoneticPr fontId="40" type="noConversion"/>
  <pageMargins left="0.25" right="0.25" top="0.75" bottom="0.75" header="0.3" footer="0.3"/>
  <pageSetup paperSize="9" scale="4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6"/>
  <sheetViews>
    <sheetView showGridLines="0" zoomScale="110" zoomScaleNormal="8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0" defaultRowHeight="12.5"/>
  <cols>
    <col min="1" max="1" width="3.796875" style="1" customWidth="1"/>
    <col min="2" max="2" width="33.3984375" style="1" customWidth="1"/>
    <col min="3" max="5" width="9.19921875" style="1" customWidth="1"/>
    <col min="6" max="10" width="12.59765625" style="1" customWidth="1"/>
    <col min="11" max="11" width="9" style="1" customWidth="1"/>
    <col min="12" max="12" width="0" style="1" hidden="1" customWidth="1"/>
    <col min="13" max="16384" width="9" style="1" hidden="1"/>
  </cols>
  <sheetData>
    <row r="1" spans="2:12">
      <c r="B1" s="81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2:12" ht="14.5">
      <c r="B2" s="99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  <c r="K2" s="106"/>
      <c r="L2" s="106"/>
    </row>
    <row r="3" spans="2:12" ht="13">
      <c r="B3" s="100"/>
      <c r="C3" s="108"/>
      <c r="D3" s="108"/>
      <c r="E3" s="108"/>
      <c r="F3" s="108"/>
      <c r="G3" s="108"/>
      <c r="H3" s="108"/>
      <c r="I3" s="108"/>
      <c r="J3" s="108"/>
      <c r="K3" s="125"/>
      <c r="L3" s="125"/>
    </row>
    <row r="4" spans="2:12" ht="14.5">
      <c r="B4" s="82" t="s">
        <v>120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</row>
    <row r="5" spans="2:12" ht="14.5">
      <c r="B5" s="81" t="s">
        <v>121</v>
      </c>
      <c r="C5" s="106"/>
      <c r="D5" s="119"/>
      <c r="E5" s="119"/>
      <c r="F5" s="119">
        <f ca="1">IS!F24</f>
        <v>35048.703851880513</v>
      </c>
      <c r="G5" s="119">
        <f ca="1">IS!G24</f>
        <v>36525.790835446045</v>
      </c>
      <c r="H5" s="119">
        <f ca="1">IS!H24</f>
        <v>38388.300300894669</v>
      </c>
      <c r="I5" s="119">
        <f ca="1">IS!I24</f>
        <v>40778.111639301183</v>
      </c>
      <c r="J5" s="119">
        <f ca="1">IS!J24</f>
        <v>43840.16637989592</v>
      </c>
      <c r="K5" s="106"/>
      <c r="L5" s="106"/>
    </row>
    <row r="6" spans="2:12" ht="14.5">
      <c r="B6" s="81" t="s">
        <v>122</v>
      </c>
      <c r="C6" s="106"/>
      <c r="D6" s="119"/>
      <c r="E6" s="119"/>
      <c r="F6" s="119">
        <f>IS!F30</f>
        <v>209.30383216050865</v>
      </c>
      <c r="G6" s="119">
        <f>IS!G30</f>
        <v>226.62009709173884</v>
      </c>
      <c r="H6" s="119">
        <f>IS!H30</f>
        <v>245.05724643220537</v>
      </c>
      <c r="I6" s="119">
        <f>IS!I30</f>
        <v>264.85898437029823</v>
      </c>
      <c r="J6" s="119">
        <f>IS!J30</f>
        <v>286.32722189513117</v>
      </c>
      <c r="K6" s="106"/>
      <c r="L6" s="106"/>
    </row>
    <row r="7" spans="2:12" ht="14.5">
      <c r="B7" s="81" t="s">
        <v>123</v>
      </c>
      <c r="C7" s="106"/>
      <c r="D7" s="119"/>
      <c r="E7" s="119"/>
      <c r="F7" s="119">
        <f>-IS!F12</f>
        <v>-1884.4133333333332</v>
      </c>
      <c r="G7" s="119">
        <f>-IS!G12</f>
        <v>-1884.4133333333332</v>
      </c>
      <c r="H7" s="119">
        <f>-IS!H12</f>
        <v>-1884.4133333333332</v>
      </c>
      <c r="I7" s="119">
        <f>-IS!I12</f>
        <v>-1884.4133333333332</v>
      </c>
      <c r="J7" s="119">
        <f>-IS!J12</f>
        <v>-1884.4133333333332</v>
      </c>
      <c r="K7" s="106"/>
      <c r="L7" s="106"/>
    </row>
    <row r="8" spans="2:12" ht="14.5">
      <c r="B8" s="81" t="s">
        <v>124</v>
      </c>
      <c r="C8" s="106"/>
      <c r="D8" s="119"/>
      <c r="E8" s="119"/>
      <c r="F8" s="119">
        <f ca="1">-IS!F11</f>
        <v>918.15246978162008</v>
      </c>
      <c r="G8" s="119">
        <f ca="1">-IS!G11</f>
        <v>678.80716263609702</v>
      </c>
      <c r="H8" s="119">
        <f ca="1">-IS!H11</f>
        <v>455.38934767939054</v>
      </c>
      <c r="I8" s="119">
        <f ca="1">-IS!I11</f>
        <v>208.42729581992103</v>
      </c>
      <c r="J8" s="119">
        <f ca="1">-IS!J11</f>
        <v>-67.247942304609751</v>
      </c>
      <c r="K8" s="106"/>
      <c r="L8" s="106"/>
    </row>
    <row r="9" spans="2:12" ht="14.5">
      <c r="B9" s="81" t="s">
        <v>125</v>
      </c>
      <c r="C9" s="106"/>
      <c r="D9" s="119"/>
      <c r="E9" s="119"/>
      <c r="F9" s="119">
        <f>-(OWC!F26-OWC!E26)</f>
        <v>4300.6199304023176</v>
      </c>
      <c r="G9" s="119">
        <f>-(OWC!G26-OWC!F26)</f>
        <v>2308.1919805663056</v>
      </c>
      <c r="H9" s="119">
        <f>-(OWC!H26-OWC!G26)</f>
        <v>2783.3762529288069</v>
      </c>
      <c r="I9" s="119">
        <f>-(OWC!I26-OWC!H26)</f>
        <v>3366.1590760264662</v>
      </c>
      <c r="J9" s="119">
        <f>-(OWC!J26-OWC!I26)</f>
        <v>4083.4818108014588</v>
      </c>
      <c r="K9" s="106"/>
      <c r="L9" s="106"/>
    </row>
    <row r="10" spans="2:12" ht="14.5">
      <c r="B10" s="81" t="s">
        <v>126</v>
      </c>
      <c r="C10" s="106"/>
      <c r="D10" s="119"/>
      <c r="E10" s="119"/>
      <c r="F10" s="119">
        <f>-(BS!F42-BS!E42)</f>
        <v>2368.5633333333317</v>
      </c>
      <c r="G10" s="119">
        <f>-(BS!G42-BS!F42)</f>
        <v>0</v>
      </c>
      <c r="H10" s="119">
        <f>-(BS!H42-BS!G42)</f>
        <v>0</v>
      </c>
      <c r="I10" s="119">
        <f>-(BS!I42-BS!H42)</f>
        <v>0</v>
      </c>
      <c r="J10" s="119">
        <f>-(BS!J42-BS!I42)</f>
        <v>0</v>
      </c>
      <c r="K10" s="106"/>
      <c r="L10" s="106"/>
    </row>
    <row r="11" spans="2:12" ht="14.5">
      <c r="B11" s="81" t="s">
        <v>127</v>
      </c>
      <c r="C11" s="106"/>
      <c r="D11" s="119"/>
      <c r="E11" s="119"/>
      <c r="F11" s="119">
        <f>-(BS!F43-BS!E43)</f>
        <v>0</v>
      </c>
      <c r="G11" s="119">
        <f>-(BS!G43-BS!F43)</f>
        <v>0</v>
      </c>
      <c r="H11" s="119">
        <f>-(BS!H43-BS!G43)</f>
        <v>0</v>
      </c>
      <c r="I11" s="119">
        <f>-(BS!I43-BS!H43)</f>
        <v>0</v>
      </c>
      <c r="J11" s="119">
        <f>-(BS!J43-BS!I43)</f>
        <v>0</v>
      </c>
      <c r="K11" s="106"/>
      <c r="L11" s="106"/>
    </row>
    <row r="12" spans="2:12" ht="14.5">
      <c r="B12" s="81" t="s">
        <v>128</v>
      </c>
      <c r="C12" s="106"/>
      <c r="D12" s="119"/>
      <c r="E12" s="119"/>
      <c r="F12" s="119">
        <f>BS!F69-BS!E69</f>
        <v>0</v>
      </c>
      <c r="G12" s="119">
        <f>BS!G69-BS!F69</f>
        <v>0</v>
      </c>
      <c r="H12" s="119">
        <f>BS!H69-BS!G69</f>
        <v>0</v>
      </c>
      <c r="I12" s="119">
        <f>BS!I69-BS!H69</f>
        <v>0</v>
      </c>
      <c r="J12" s="119">
        <f>BS!J69-BS!I69</f>
        <v>0</v>
      </c>
      <c r="K12" s="106"/>
      <c r="L12" s="106"/>
    </row>
    <row r="13" spans="2:12" ht="14.5">
      <c r="B13" s="81" t="s">
        <v>129</v>
      </c>
      <c r="C13" s="106"/>
      <c r="D13" s="119"/>
      <c r="E13" s="119"/>
      <c r="F13" s="119">
        <f>BS!F70-BS!E70</f>
        <v>0</v>
      </c>
      <c r="G13" s="119">
        <f>BS!G70-BS!F70</f>
        <v>0</v>
      </c>
      <c r="H13" s="119">
        <f>BS!H70-BS!G70</f>
        <v>0</v>
      </c>
      <c r="I13" s="119">
        <f>BS!I70-BS!H70</f>
        <v>0</v>
      </c>
      <c r="J13" s="119">
        <f>BS!J70-BS!I70</f>
        <v>0</v>
      </c>
      <c r="K13" s="106"/>
      <c r="L13" s="106"/>
    </row>
    <row r="14" spans="2:12" ht="14.5">
      <c r="B14" s="81" t="s">
        <v>130</v>
      </c>
      <c r="C14" s="106"/>
      <c r="D14" s="119"/>
      <c r="E14" s="119"/>
      <c r="F14" s="119">
        <f>BS!F71-BS!E71</f>
        <v>0</v>
      </c>
      <c r="G14" s="119">
        <f>BS!G71-BS!F71</f>
        <v>0</v>
      </c>
      <c r="H14" s="119">
        <f>BS!H71-BS!G71</f>
        <v>0</v>
      </c>
      <c r="I14" s="119">
        <f>BS!I71-BS!H71</f>
        <v>0</v>
      </c>
      <c r="J14" s="119">
        <f>BS!J71-BS!I71</f>
        <v>0</v>
      </c>
      <c r="K14" s="106"/>
      <c r="L14" s="106"/>
    </row>
    <row r="15" spans="2:12" ht="14.5">
      <c r="B15" s="81" t="s">
        <v>131</v>
      </c>
      <c r="C15" s="106"/>
      <c r="D15" s="119"/>
      <c r="E15" s="119"/>
      <c r="F15" s="119">
        <f>BS!F72-BS!E72</f>
        <v>0</v>
      </c>
      <c r="G15" s="119">
        <f>BS!G72-BS!F72</f>
        <v>0</v>
      </c>
      <c r="H15" s="119">
        <f>BS!H72-BS!G72</f>
        <v>0</v>
      </c>
      <c r="I15" s="119">
        <f>BS!I72-BS!H72</f>
        <v>0</v>
      </c>
      <c r="J15" s="119">
        <f>BS!J72-BS!I72</f>
        <v>0</v>
      </c>
      <c r="K15" s="106"/>
      <c r="L15" s="106"/>
    </row>
    <row r="16" spans="2:12" ht="14.5">
      <c r="B16" s="81" t="s">
        <v>132</v>
      </c>
      <c r="C16" s="106"/>
      <c r="D16" s="119"/>
      <c r="E16" s="119"/>
      <c r="F16" s="119">
        <f>BS!F73-BS!E73</f>
        <v>0</v>
      </c>
      <c r="G16" s="119">
        <f>BS!G73-BS!F73</f>
        <v>0</v>
      </c>
      <c r="H16" s="119">
        <f>BS!H73-BS!G73</f>
        <v>0</v>
      </c>
      <c r="I16" s="119">
        <f>BS!I73-BS!H73</f>
        <v>0</v>
      </c>
      <c r="J16" s="119">
        <f>BS!J73-BS!I73</f>
        <v>0</v>
      </c>
      <c r="K16" s="106"/>
      <c r="L16" s="106"/>
    </row>
    <row r="17" spans="2:12" ht="14.5">
      <c r="B17" s="139" t="s">
        <v>120</v>
      </c>
      <c r="C17" s="142"/>
      <c r="D17" s="141"/>
      <c r="E17" s="141"/>
      <c r="F17" s="141">
        <f ca="1">SUM(F5:F16)</f>
        <v>40960.930084224958</v>
      </c>
      <c r="G17" s="141">
        <f ca="1">SUM(G5:G16)</f>
        <v>37854.99674240686</v>
      </c>
      <c r="H17" s="141">
        <f ca="1">SUM(H5:H16)</f>
        <v>39987.709814601738</v>
      </c>
      <c r="I17" s="141">
        <f ca="1">SUM(I5:I16)</f>
        <v>42733.143662184542</v>
      </c>
      <c r="J17" s="141">
        <f ca="1">SUM(J5:J16)</f>
        <v>46258.31413695457</v>
      </c>
      <c r="K17" s="106"/>
      <c r="L17" s="106"/>
    </row>
    <row r="18" spans="2:12">
      <c r="B18" s="81"/>
      <c r="C18" s="106"/>
      <c r="D18" s="106"/>
      <c r="E18" s="106"/>
      <c r="F18" s="119"/>
      <c r="G18" s="119"/>
      <c r="H18" s="119"/>
      <c r="I18" s="119"/>
      <c r="J18" s="119"/>
      <c r="K18" s="106"/>
      <c r="L18" s="106"/>
    </row>
    <row r="19" spans="2:12" ht="14.5">
      <c r="B19" s="82" t="s">
        <v>133</v>
      </c>
      <c r="C19" s="106"/>
      <c r="D19" s="106"/>
      <c r="E19" s="106"/>
      <c r="F19" s="119"/>
      <c r="G19" s="119"/>
      <c r="H19" s="119"/>
      <c r="I19" s="119"/>
      <c r="J19" s="119"/>
      <c r="K19" s="106"/>
      <c r="L19" s="106"/>
    </row>
    <row r="20" spans="2:12" ht="14.5">
      <c r="B20" s="81" t="s">
        <v>134</v>
      </c>
      <c r="C20" s="106"/>
      <c r="D20" s="106"/>
      <c r="E20" s="106"/>
      <c r="F20" s="119">
        <f>-(BS!F6-BS!E6)</f>
        <v>0</v>
      </c>
      <c r="G20" s="119">
        <f>-(BS!G6-BS!F6)</f>
        <v>0</v>
      </c>
      <c r="H20" s="119">
        <f>-(BS!H6-BS!G6)</f>
        <v>0</v>
      </c>
      <c r="I20" s="119">
        <f>-(BS!I6-BS!H6)</f>
        <v>0</v>
      </c>
      <c r="J20" s="119">
        <f>-(BS!J6-BS!I6)</f>
        <v>0</v>
      </c>
      <c r="K20" s="106"/>
      <c r="L20" s="106"/>
    </row>
    <row r="21" spans="2:12" ht="14.5">
      <c r="B21" s="81" t="s">
        <v>135</v>
      </c>
      <c r="C21" s="106"/>
      <c r="D21" s="106"/>
      <c r="E21" s="106"/>
      <c r="F21" s="119">
        <f>-(BS!F7-BS!E7)</f>
        <v>0</v>
      </c>
      <c r="G21" s="119">
        <f>-(BS!G7-BS!F7)</f>
        <v>0</v>
      </c>
      <c r="H21" s="119">
        <f>-(BS!H7-BS!G7)</f>
        <v>0</v>
      </c>
      <c r="I21" s="119">
        <f>-(BS!I7-BS!H7)</f>
        <v>0</v>
      </c>
      <c r="J21" s="119">
        <f>-(BS!J7-BS!I7)</f>
        <v>0</v>
      </c>
      <c r="K21" s="106"/>
      <c r="L21" s="106"/>
    </row>
    <row r="22" spans="2:12" ht="14.5">
      <c r="B22" s="81" t="s">
        <v>136</v>
      </c>
      <c r="C22" s="106"/>
      <c r="D22" s="106"/>
      <c r="E22" s="106"/>
      <c r="F22" s="119">
        <f>-(BS!F22-BS!E22)</f>
        <v>0</v>
      </c>
      <c r="G22" s="119">
        <f>-(BS!G22-BS!F22)</f>
        <v>0</v>
      </c>
      <c r="H22" s="119">
        <f>-(BS!H22-BS!G22)</f>
        <v>0</v>
      </c>
      <c r="I22" s="119">
        <f>-(BS!I22-BS!H22)</f>
        <v>0</v>
      </c>
      <c r="J22" s="119">
        <f>-(BS!J22-BS!I22)</f>
        <v>0</v>
      </c>
      <c r="K22" s="106"/>
      <c r="L22" s="106"/>
    </row>
    <row r="23" spans="2:12" ht="14.5">
      <c r="B23" s="81" t="s">
        <v>137</v>
      </c>
      <c r="C23" s="106"/>
      <c r="D23" s="106"/>
      <c r="E23" s="106"/>
      <c r="F23" s="119">
        <f>-(BS!F23-BS!E23)</f>
        <v>0</v>
      </c>
      <c r="G23" s="119">
        <f>-(BS!G23-BS!F23)</f>
        <v>0</v>
      </c>
      <c r="H23" s="119">
        <f>-(BS!H23-BS!G23)</f>
        <v>0</v>
      </c>
      <c r="I23" s="119">
        <f>-(BS!I23-BS!H23)</f>
        <v>0</v>
      </c>
      <c r="J23" s="119">
        <f>-(BS!J23-BS!I23)</f>
        <v>0</v>
      </c>
      <c r="K23" s="106"/>
      <c r="L23" s="106"/>
    </row>
    <row r="24" spans="2:12" ht="14.5">
      <c r="B24" s="81" t="s">
        <v>138</v>
      </c>
      <c r="C24" s="106"/>
      <c r="D24" s="106"/>
      <c r="E24" s="106"/>
      <c r="F24" s="119">
        <f>-(BS!F24-BS!E24)</f>
        <v>0</v>
      </c>
      <c r="G24" s="119">
        <f>-(BS!G24-BS!F24)</f>
        <v>0</v>
      </c>
      <c r="H24" s="119">
        <f>-(BS!H24-BS!G24)</f>
        <v>0</v>
      </c>
      <c r="I24" s="119">
        <f>-(BS!I24-BS!H24)</f>
        <v>0</v>
      </c>
      <c r="J24" s="119">
        <f>-(BS!J24-BS!I24)</f>
        <v>0</v>
      </c>
      <c r="K24" s="106"/>
      <c r="L24" s="106"/>
    </row>
    <row r="25" spans="2:12" ht="14.5">
      <c r="B25" s="81" t="s">
        <v>139</v>
      </c>
      <c r="C25" s="106"/>
      <c r="D25" s="106"/>
      <c r="E25" s="106"/>
      <c r="F25" s="119">
        <f>-(BS!F25-BS!E25)</f>
        <v>0</v>
      </c>
      <c r="G25" s="119">
        <f>-(BS!G25-BS!F25)</f>
        <v>0</v>
      </c>
      <c r="H25" s="119">
        <f>-(BS!H25-BS!G25)</f>
        <v>0</v>
      </c>
      <c r="I25" s="119">
        <f>-(BS!I25-BS!H25)</f>
        <v>0</v>
      </c>
      <c r="J25" s="119">
        <f>-(BS!J25-BS!I25)</f>
        <v>0</v>
      </c>
      <c r="K25" s="106"/>
      <c r="L25" s="106"/>
    </row>
    <row r="26" spans="2:12" ht="14.5">
      <c r="B26" s="81" t="s">
        <v>140</v>
      </c>
      <c r="C26" s="106"/>
      <c r="D26" s="106"/>
      <c r="E26" s="106"/>
      <c r="F26" s="119">
        <f>-(BS!F26-BS!E26)</f>
        <v>0</v>
      </c>
      <c r="G26" s="119">
        <f>-(BS!G26-BS!F26)</f>
        <v>0</v>
      </c>
      <c r="H26" s="119">
        <f>-(BS!H26-BS!G26)</f>
        <v>0</v>
      </c>
      <c r="I26" s="119">
        <f>-(BS!I26-BS!H26)</f>
        <v>0</v>
      </c>
      <c r="J26" s="119">
        <f>-(BS!J26-BS!I26)</f>
        <v>0</v>
      </c>
      <c r="K26" s="106"/>
      <c r="L26" s="106"/>
    </row>
    <row r="27" spans="2:12" ht="14.5">
      <c r="B27" s="81" t="s">
        <v>141</v>
      </c>
      <c r="C27" s="106"/>
      <c r="D27" s="106"/>
      <c r="E27" s="106"/>
      <c r="F27" s="119">
        <f>-(BS!F27-BS!E27)</f>
        <v>0</v>
      </c>
      <c r="G27" s="119">
        <f>-(BS!G27-BS!F27)</f>
        <v>0</v>
      </c>
      <c r="H27" s="119">
        <f>-(BS!H27-BS!G27)</f>
        <v>0</v>
      </c>
      <c r="I27" s="119">
        <f>-(BS!I27-BS!H27)</f>
        <v>0</v>
      </c>
      <c r="J27" s="119">
        <f>-(BS!J27-BS!I27)</f>
        <v>0</v>
      </c>
      <c r="K27" s="106"/>
      <c r="L27" s="106"/>
    </row>
    <row r="28" spans="2:12" ht="14.5">
      <c r="B28" s="81" t="s">
        <v>142</v>
      </c>
      <c r="C28" s="106"/>
      <c r="D28" s="106"/>
      <c r="E28" s="106"/>
      <c r="F28" s="119">
        <f>-(BS!F28-BS!E28)</f>
        <v>0</v>
      </c>
      <c r="G28" s="119">
        <f>-(BS!G28-BS!F28)</f>
        <v>0</v>
      </c>
      <c r="H28" s="119">
        <f>-(BS!H28-BS!G28)</f>
        <v>0</v>
      </c>
      <c r="I28" s="119">
        <f>-(BS!I28-BS!H28)</f>
        <v>0</v>
      </c>
      <c r="J28" s="119">
        <f>-(BS!J28-BS!I28)</f>
        <v>0</v>
      </c>
      <c r="K28" s="106"/>
      <c r="L28" s="106"/>
    </row>
    <row r="29" spans="2:12" ht="14.5">
      <c r="B29" s="81" t="s">
        <v>143</v>
      </c>
      <c r="C29" s="106"/>
      <c r="D29" s="106"/>
      <c r="E29" s="106"/>
      <c r="F29" s="119">
        <f>-(BS!F29-BS!E29)</f>
        <v>0</v>
      </c>
      <c r="G29" s="119">
        <f>-(BS!G29-BS!F29)</f>
        <v>0</v>
      </c>
      <c r="H29" s="119">
        <f>-(BS!H29-BS!G29)</f>
        <v>0</v>
      </c>
      <c r="I29" s="119">
        <f>-(BS!I29-BS!H29)</f>
        <v>0</v>
      </c>
      <c r="J29" s="119">
        <f>-(BS!J29-BS!I29)</f>
        <v>0</v>
      </c>
      <c r="K29" s="106"/>
      <c r="L29" s="106"/>
    </row>
    <row r="30" spans="2:12" ht="14.5">
      <c r="B30" s="81" t="s">
        <v>144</v>
      </c>
      <c r="C30" s="106"/>
      <c r="D30" s="106"/>
      <c r="E30" s="106"/>
      <c r="F30" s="119">
        <f>-(BS!F30-BS!E30)</f>
        <v>0</v>
      </c>
      <c r="G30" s="119">
        <f>-(BS!G30-BS!F30)</f>
        <v>0</v>
      </c>
      <c r="H30" s="119">
        <f>-(BS!H30-BS!G30)</f>
        <v>0</v>
      </c>
      <c r="I30" s="119">
        <f>-(BS!I30-BS!H30)</f>
        <v>0</v>
      </c>
      <c r="J30" s="119">
        <f>-(BS!J30-BS!I30)</f>
        <v>0</v>
      </c>
      <c r="K30" s="106"/>
      <c r="L30" s="106"/>
    </row>
    <row r="31" spans="2:12" ht="14.5">
      <c r="B31" s="81" t="s">
        <v>145</v>
      </c>
      <c r="C31" s="106"/>
      <c r="D31" s="106"/>
      <c r="E31" s="106"/>
      <c r="F31" s="119">
        <f>-(BS!F31-BS!E31)</f>
        <v>0</v>
      </c>
      <c r="G31" s="119">
        <f>-(BS!G31-BS!F31)</f>
        <v>0</v>
      </c>
      <c r="H31" s="119">
        <f>-(BS!H31-BS!G31)</f>
        <v>0</v>
      </c>
      <c r="I31" s="119">
        <f>-(BS!I31-BS!H31)</f>
        <v>0</v>
      </c>
      <c r="J31" s="119">
        <f>-(BS!J31-BS!I31)</f>
        <v>0</v>
      </c>
      <c r="K31" s="106"/>
      <c r="L31" s="106"/>
    </row>
    <row r="32" spans="2:12" ht="14.5">
      <c r="B32" s="81" t="s">
        <v>146</v>
      </c>
      <c r="C32" s="106"/>
      <c r="D32" s="106"/>
      <c r="E32" s="106"/>
      <c r="F32" s="119">
        <f>-(BS!F32-BS!E32)</f>
        <v>0</v>
      </c>
      <c r="G32" s="119">
        <f>-(BS!G32-BS!F32)</f>
        <v>0</v>
      </c>
      <c r="H32" s="119">
        <f>-(BS!H32-BS!G32)</f>
        <v>0</v>
      </c>
      <c r="I32" s="119">
        <f>-(BS!I32-BS!H32)</f>
        <v>0</v>
      </c>
      <c r="J32" s="119">
        <f>-(BS!J32-BS!I32)</f>
        <v>0</v>
      </c>
      <c r="K32" s="106"/>
      <c r="L32" s="106"/>
    </row>
    <row r="33" spans="2:12" ht="14.5">
      <c r="B33" s="81" t="s">
        <v>147</v>
      </c>
      <c r="C33" s="106"/>
      <c r="D33" s="106"/>
      <c r="E33" s="106"/>
      <c r="F33" s="119">
        <f>-DA!F41</f>
        <v>-4912.2207082802088</v>
      </c>
      <c r="G33" s="119">
        <f>-DA!G41</f>
        <v>-5188.9334528888385</v>
      </c>
      <c r="H33" s="119">
        <f>-DA!H41</f>
        <v>-5188.9334528888385</v>
      </c>
      <c r="I33" s="119">
        <f>-DA!I41</f>
        <v>-5188.9334528888385</v>
      </c>
      <c r="J33" s="119">
        <f>-DA!J41</f>
        <v>-5188.9334528888385</v>
      </c>
      <c r="K33" s="106"/>
      <c r="L33" s="106"/>
    </row>
    <row r="34" spans="2:12" ht="14.5">
      <c r="B34" s="81" t="s">
        <v>148</v>
      </c>
      <c r="C34" s="106"/>
      <c r="D34" s="106"/>
      <c r="E34" s="106"/>
      <c r="F34" s="119">
        <f>-DA!F43</f>
        <v>0</v>
      </c>
      <c r="G34" s="119">
        <f>-DA!G43</f>
        <v>0</v>
      </c>
      <c r="H34" s="119">
        <f>-DA!H43</f>
        <v>0</v>
      </c>
      <c r="I34" s="119">
        <f>-DA!I43</f>
        <v>0</v>
      </c>
      <c r="J34" s="119">
        <f>-DA!J43</f>
        <v>0</v>
      </c>
      <c r="K34" s="106"/>
      <c r="L34" s="106"/>
    </row>
    <row r="35" spans="2:12" ht="14.5">
      <c r="B35" s="81" t="s">
        <v>149</v>
      </c>
      <c r="C35" s="106"/>
      <c r="D35" s="106"/>
      <c r="E35" s="106"/>
      <c r="F35" s="119">
        <f>-DA!F68</f>
        <v>-300</v>
      </c>
      <c r="G35" s="119">
        <f>-DA!G68</f>
        <v>-300</v>
      </c>
      <c r="H35" s="119">
        <f>-DA!H68</f>
        <v>-168</v>
      </c>
      <c r="I35" s="119">
        <f>-DA!I68</f>
        <v>-10</v>
      </c>
      <c r="J35" s="119">
        <f>-DA!J68</f>
        <v>-10</v>
      </c>
      <c r="K35" s="106"/>
      <c r="L35" s="106"/>
    </row>
    <row r="36" spans="2:12" ht="14.5">
      <c r="B36" s="81" t="s">
        <v>150</v>
      </c>
      <c r="C36" s="106"/>
      <c r="D36" s="106"/>
      <c r="E36" s="106"/>
      <c r="F36" s="119">
        <f>-(BS!F35-BS!E35)</f>
        <v>0</v>
      </c>
      <c r="G36" s="119">
        <f>-(BS!G35-BS!F35)</f>
        <v>0</v>
      </c>
      <c r="H36" s="119">
        <f>-(BS!H35-BS!G35)</f>
        <v>0</v>
      </c>
      <c r="I36" s="119">
        <f>-(BS!I35-BS!H35)</f>
        <v>0</v>
      </c>
      <c r="J36" s="119">
        <f>-(BS!J35-BS!I35)</f>
        <v>0</v>
      </c>
      <c r="K36" s="106"/>
      <c r="L36" s="106"/>
    </row>
    <row r="37" spans="2:12" ht="14.5">
      <c r="B37" s="81" t="s">
        <v>151</v>
      </c>
      <c r="C37" s="106"/>
      <c r="D37" s="106"/>
      <c r="E37" s="106"/>
      <c r="F37" s="119">
        <f>-(BS!F36-BS!E36)</f>
        <v>0</v>
      </c>
      <c r="G37" s="119">
        <f>-(BS!G36-BS!F36)</f>
        <v>0</v>
      </c>
      <c r="H37" s="119">
        <f>-(BS!H36-BS!G36)</f>
        <v>0</v>
      </c>
      <c r="I37" s="119">
        <f>-(BS!I36-BS!H36)</f>
        <v>0</v>
      </c>
      <c r="J37" s="119">
        <f>-(BS!J36-BS!I36)</f>
        <v>0</v>
      </c>
      <c r="K37" s="106"/>
      <c r="L37" s="106"/>
    </row>
    <row r="38" spans="2:12" ht="14.5">
      <c r="B38" s="81" t="s">
        <v>152</v>
      </c>
      <c r="C38" s="106"/>
      <c r="D38" s="106"/>
      <c r="E38" s="106"/>
      <c r="F38" s="119">
        <f>-DA!F95</f>
        <v>-2278.556474056883</v>
      </c>
      <c r="G38" s="119">
        <f>-DA!G95</f>
        <v>-2406.9109705515621</v>
      </c>
      <c r="H38" s="119">
        <f>-DA!H95</f>
        <v>-2562.7106763209895</v>
      </c>
      <c r="I38" s="119">
        <f>-DA!I95</f>
        <v>-2752.3845626330835</v>
      </c>
      <c r="J38" s="119">
        <f>-DA!J95</f>
        <v>-2984.0232072065105</v>
      </c>
      <c r="K38" s="106"/>
      <c r="L38" s="106"/>
    </row>
    <row r="39" spans="2:12" ht="14.5">
      <c r="B39" s="81" t="s">
        <v>153</v>
      </c>
      <c r="C39" s="106"/>
      <c r="D39" s="106"/>
      <c r="E39" s="106"/>
      <c r="F39" s="119">
        <f>-DA!F96</f>
        <v>0</v>
      </c>
      <c r="G39" s="119">
        <f>-DA!G96</f>
        <v>0</v>
      </c>
      <c r="H39" s="119">
        <f>-DA!H96</f>
        <v>0</v>
      </c>
      <c r="I39" s="119">
        <f>-DA!I96</f>
        <v>0</v>
      </c>
      <c r="J39" s="119">
        <f>-DA!J96</f>
        <v>0</v>
      </c>
      <c r="K39" s="106"/>
      <c r="L39" s="106"/>
    </row>
    <row r="40" spans="2:12" ht="14.5">
      <c r="B40" s="81" t="s">
        <v>154</v>
      </c>
      <c r="C40" s="106"/>
      <c r="D40" s="106"/>
      <c r="E40" s="106"/>
      <c r="F40" s="119">
        <f>-DA!F132</f>
        <v>-329.50221926006691</v>
      </c>
      <c r="G40" s="119">
        <f>-DA!G132</f>
        <v>-348.06357243631885</v>
      </c>
      <c r="H40" s="119">
        <f>-DA!H132</f>
        <v>-370.59377934389192</v>
      </c>
      <c r="I40" s="119">
        <f>-DA!I132</f>
        <v>-398.02253399057457</v>
      </c>
      <c r="J40" s="119">
        <f>-DA!J132</f>
        <v>-398.02253399057457</v>
      </c>
      <c r="K40" s="106"/>
      <c r="L40" s="106"/>
    </row>
    <row r="41" spans="2:12" ht="14.5">
      <c r="B41" s="81" t="s">
        <v>155</v>
      </c>
      <c r="C41" s="106"/>
      <c r="D41" s="106"/>
      <c r="E41" s="106"/>
      <c r="F41" s="119">
        <f>-DA!F133</f>
        <v>0</v>
      </c>
      <c r="G41" s="119">
        <f>-DA!G133</f>
        <v>0</v>
      </c>
      <c r="H41" s="119">
        <f>-DA!H133</f>
        <v>0</v>
      </c>
      <c r="I41" s="119">
        <f>-DA!I133</f>
        <v>0</v>
      </c>
      <c r="J41" s="119">
        <f>-DA!J133</f>
        <v>0</v>
      </c>
      <c r="K41" s="106"/>
      <c r="L41" s="106"/>
    </row>
    <row r="42" spans="2:12" ht="14.5">
      <c r="B42" s="81" t="s">
        <v>156</v>
      </c>
      <c r="C42" s="106"/>
      <c r="D42" s="106"/>
      <c r="E42" s="106"/>
      <c r="F42" s="119">
        <f>-DA!F158</f>
        <v>0</v>
      </c>
      <c r="G42" s="119">
        <f>-DA!G158</f>
        <v>0</v>
      </c>
      <c r="H42" s="119">
        <f>-DA!H158</f>
        <v>0</v>
      </c>
      <c r="I42" s="119">
        <f>-DA!I158</f>
        <v>0</v>
      </c>
      <c r="J42" s="119">
        <f>-DA!J158</f>
        <v>0</v>
      </c>
      <c r="K42" s="106"/>
      <c r="L42" s="106"/>
    </row>
    <row r="43" spans="2:12" ht="14.5">
      <c r="B43" s="81" t="s">
        <v>157</v>
      </c>
      <c r="C43" s="106"/>
      <c r="D43" s="106"/>
      <c r="E43" s="106"/>
      <c r="F43" s="119">
        <f>-(BS!F40-BS!E40)</f>
        <v>0</v>
      </c>
      <c r="G43" s="119">
        <f>-(BS!G40-BS!F40)</f>
        <v>0</v>
      </c>
      <c r="H43" s="119">
        <f>-(BS!H40-BS!G40)</f>
        <v>0</v>
      </c>
      <c r="I43" s="119">
        <f>-(BS!I40-BS!H40)</f>
        <v>0</v>
      </c>
      <c r="J43" s="119">
        <f>-(BS!J40-BS!I40)</f>
        <v>0</v>
      </c>
      <c r="K43" s="106"/>
      <c r="L43" s="106"/>
    </row>
    <row r="44" spans="2:12" ht="14.5">
      <c r="B44" s="81" t="s">
        <v>158</v>
      </c>
      <c r="C44" s="106"/>
      <c r="D44" s="106"/>
      <c r="E44" s="106"/>
      <c r="F44" s="119">
        <f>-DA!F173</f>
        <v>-163.92832160508664</v>
      </c>
      <c r="G44" s="119">
        <f>-DA!G173</f>
        <v>-173.16264931230211</v>
      </c>
      <c r="H44" s="119">
        <f>-DA!H173</f>
        <v>-184.37149340466539</v>
      </c>
      <c r="I44" s="119">
        <f>-DA!I173</f>
        <v>-198.01737938092816</v>
      </c>
      <c r="J44" s="119">
        <f>-DA!J173</f>
        <v>-214.68237524832975</v>
      </c>
      <c r="K44" s="106"/>
      <c r="L44" s="106"/>
    </row>
    <row r="45" spans="2:12" ht="14.5">
      <c r="B45" s="81" t="s">
        <v>159</v>
      </c>
      <c r="C45" s="106"/>
      <c r="D45" s="106"/>
      <c r="E45" s="106"/>
      <c r="F45" s="119">
        <f>BS!F51-BS!E51</f>
        <v>0</v>
      </c>
      <c r="G45" s="119">
        <f>BS!G51-BS!F51</f>
        <v>0</v>
      </c>
      <c r="H45" s="119">
        <f>BS!H51-BS!G51</f>
        <v>0</v>
      </c>
      <c r="I45" s="119">
        <f>BS!I51-BS!H51</f>
        <v>0</v>
      </c>
      <c r="J45" s="119">
        <f>BS!J51-BS!I51</f>
        <v>0</v>
      </c>
      <c r="K45" s="106"/>
      <c r="L45" s="106"/>
    </row>
    <row r="46" spans="2:12" ht="14.5">
      <c r="B46" s="81" t="s">
        <v>160</v>
      </c>
      <c r="C46" s="106"/>
      <c r="D46" s="106"/>
      <c r="E46" s="106"/>
      <c r="F46" s="119">
        <f>BS!F52-BS!E52</f>
        <v>0</v>
      </c>
      <c r="G46" s="119">
        <f>BS!G52-BS!F52</f>
        <v>0</v>
      </c>
      <c r="H46" s="119">
        <f>BS!H52-BS!G52</f>
        <v>0</v>
      </c>
      <c r="I46" s="119">
        <f>BS!I52-BS!H52</f>
        <v>0</v>
      </c>
      <c r="J46" s="119">
        <f>BS!J52-BS!I52</f>
        <v>0</v>
      </c>
      <c r="K46" s="106"/>
      <c r="L46" s="106"/>
    </row>
    <row r="47" spans="2:12" ht="14.5">
      <c r="B47" s="81" t="s">
        <v>161</v>
      </c>
      <c r="C47" s="106"/>
      <c r="D47" s="106"/>
      <c r="E47" s="106"/>
      <c r="F47" s="119">
        <f>-F7</f>
        <v>1884.4133333333332</v>
      </c>
      <c r="G47" s="119">
        <f>-G7</f>
        <v>1884.4133333333332</v>
      </c>
      <c r="H47" s="119">
        <f>-H7</f>
        <v>1884.4133333333332</v>
      </c>
      <c r="I47" s="119">
        <f>-I7</f>
        <v>1884.4133333333332</v>
      </c>
      <c r="J47" s="119">
        <f>-J7</f>
        <v>1884.4133333333332</v>
      </c>
      <c r="K47" s="106"/>
      <c r="L47" s="106"/>
    </row>
    <row r="48" spans="2:12" ht="14.5">
      <c r="B48" s="139" t="s">
        <v>133</v>
      </c>
      <c r="C48" s="142"/>
      <c r="D48" s="142"/>
      <c r="E48" s="142"/>
      <c r="F48" s="141">
        <f>SUM(F20:F47)</f>
        <v>-6099.7943898689118</v>
      </c>
      <c r="G48" s="141">
        <f>SUM(G20:G47)</f>
        <v>-6532.6573118556889</v>
      </c>
      <c r="H48" s="141">
        <f>SUM(H20:H47)</f>
        <v>-6590.1960686250522</v>
      </c>
      <c r="I48" s="141">
        <f>SUM(I20:I47)</f>
        <v>-6662.9445955600904</v>
      </c>
      <c r="J48" s="141">
        <f>SUM(J20:J47)</f>
        <v>-6911.2482360009208</v>
      </c>
      <c r="K48" s="106"/>
      <c r="L48" s="106"/>
    </row>
    <row r="49" spans="2:12">
      <c r="B49" s="81"/>
      <c r="C49" s="106"/>
      <c r="D49" s="106"/>
      <c r="E49" s="106"/>
      <c r="F49" s="119"/>
      <c r="G49" s="119"/>
      <c r="H49" s="119"/>
      <c r="I49" s="119"/>
      <c r="J49" s="119"/>
      <c r="K49" s="106"/>
      <c r="L49" s="106"/>
    </row>
    <row r="50" spans="2:12" ht="14.5">
      <c r="B50" s="82" t="s">
        <v>162</v>
      </c>
      <c r="C50" s="106"/>
      <c r="D50" s="106"/>
      <c r="E50" s="106"/>
      <c r="F50" s="119"/>
      <c r="G50" s="119"/>
      <c r="H50" s="119"/>
      <c r="I50" s="119"/>
      <c r="J50" s="119"/>
      <c r="K50" s="106"/>
      <c r="L50" s="106"/>
    </row>
    <row r="51" spans="2:12" ht="14.5">
      <c r="B51" s="81" t="s">
        <v>163</v>
      </c>
      <c r="C51" s="106"/>
      <c r="D51" s="106"/>
      <c r="E51" s="106"/>
      <c r="F51" s="119">
        <f>-BS!E49</f>
        <v>0</v>
      </c>
      <c r="G51" s="119">
        <f ca="1">-BS!F49</f>
        <v>0</v>
      </c>
      <c r="H51" s="119">
        <f ca="1">-BS!G49</f>
        <v>0</v>
      </c>
      <c r="I51" s="119">
        <f ca="1">-BS!H49</f>
        <v>0</v>
      </c>
      <c r="J51" s="119">
        <f ca="1">-BS!I49</f>
        <v>0</v>
      </c>
      <c r="K51" s="106"/>
      <c r="L51" s="106"/>
    </row>
    <row r="52" spans="2:12" ht="14.5">
      <c r="B52" s="81" t="s">
        <v>164</v>
      </c>
      <c r="C52" s="106"/>
      <c r="D52" s="106"/>
      <c r="E52" s="106"/>
      <c r="F52" s="119">
        <f>BS!F50-BS!E50</f>
        <v>0</v>
      </c>
      <c r="G52" s="119">
        <f>BS!G50-BS!F50</f>
        <v>0</v>
      </c>
      <c r="H52" s="119">
        <f>BS!H50-BS!G50</f>
        <v>0</v>
      </c>
      <c r="I52" s="119">
        <f>BS!I50-BS!H50</f>
        <v>0</v>
      </c>
      <c r="J52" s="119">
        <f>BS!J50-BS!I50</f>
        <v>0</v>
      </c>
      <c r="K52" s="106"/>
      <c r="L52" s="106"/>
    </row>
    <row r="53" spans="2:12" ht="14.5">
      <c r="B53" s="81" t="s">
        <v>165</v>
      </c>
      <c r="C53" s="106"/>
      <c r="D53" s="106"/>
      <c r="E53" s="106"/>
      <c r="F53" s="119">
        <f>BS!F60-BS!E60</f>
        <v>0</v>
      </c>
      <c r="G53" s="119">
        <f>BS!G60-BS!F60</f>
        <v>0</v>
      </c>
      <c r="H53" s="119">
        <f>BS!H60-BS!G60</f>
        <v>0</v>
      </c>
      <c r="I53" s="119">
        <f>BS!I60-BS!H60</f>
        <v>0</v>
      </c>
      <c r="J53" s="119">
        <f>BS!J60-BS!I60</f>
        <v>0</v>
      </c>
      <c r="K53" s="106"/>
      <c r="L53" s="106"/>
    </row>
    <row r="54" spans="2:12" ht="14.5">
      <c r="B54" s="81" t="s">
        <v>166</v>
      </c>
      <c r="C54" s="106"/>
      <c r="D54" s="106"/>
      <c r="E54" s="106"/>
      <c r="F54" s="119">
        <f>BS!F61-BS!E61</f>
        <v>0</v>
      </c>
      <c r="G54" s="119">
        <f>BS!G61-BS!F61</f>
        <v>0</v>
      </c>
      <c r="H54" s="119">
        <f>BS!H61-BS!G61</f>
        <v>0</v>
      </c>
      <c r="I54" s="119">
        <f>BS!I61-BS!H61</f>
        <v>0</v>
      </c>
      <c r="J54" s="119">
        <f>BS!J61-BS!I61</f>
        <v>0</v>
      </c>
      <c r="K54" s="106"/>
      <c r="L54" s="106"/>
    </row>
    <row r="55" spans="2:12" ht="14.5">
      <c r="B55" s="81" t="s">
        <v>167</v>
      </c>
      <c r="C55" s="106"/>
      <c r="D55" s="106"/>
      <c r="E55" s="106"/>
      <c r="F55" s="119">
        <f>BS!F66-BS!E66</f>
        <v>0</v>
      </c>
      <c r="G55" s="119">
        <f>BS!G66-BS!F66</f>
        <v>0</v>
      </c>
      <c r="H55" s="119">
        <f>BS!H66-BS!G66</f>
        <v>0</v>
      </c>
      <c r="I55" s="119">
        <f>BS!I66-BS!H66</f>
        <v>0</v>
      </c>
      <c r="J55" s="119">
        <f>BS!J66-BS!I66</f>
        <v>0</v>
      </c>
      <c r="K55" s="106"/>
      <c r="L55" s="106"/>
    </row>
    <row r="56" spans="2:12" ht="14.5">
      <c r="B56" s="81" t="s">
        <v>168</v>
      </c>
      <c r="C56" s="106"/>
      <c r="D56" s="106"/>
      <c r="E56" s="106"/>
      <c r="F56" s="119">
        <f>BS!F67-BS!E67</f>
        <v>0</v>
      </c>
      <c r="G56" s="119">
        <f>BS!G67-BS!F67</f>
        <v>0</v>
      </c>
      <c r="H56" s="119">
        <f>BS!H67-BS!G67</f>
        <v>0</v>
      </c>
      <c r="I56" s="119">
        <f>BS!I67-BS!H67</f>
        <v>0</v>
      </c>
      <c r="J56" s="119">
        <f>BS!J67-BS!I67</f>
        <v>0</v>
      </c>
      <c r="K56" s="106"/>
      <c r="L56" s="106"/>
    </row>
    <row r="57" spans="2:12" ht="14.5">
      <c r="B57" s="81" t="s">
        <v>169</v>
      </c>
      <c r="C57" s="106"/>
      <c r="D57" s="119"/>
      <c r="E57" s="119"/>
      <c r="F57" s="119">
        <f>BS!F68-BS!E68</f>
        <v>0</v>
      </c>
      <c r="G57" s="119">
        <f>BS!G68-BS!F68</f>
        <v>0</v>
      </c>
      <c r="H57" s="119">
        <f>BS!H68-BS!G68</f>
        <v>0</v>
      </c>
      <c r="I57" s="119">
        <f>BS!I68-BS!H68</f>
        <v>0</v>
      </c>
      <c r="J57" s="119">
        <f>BS!J68-BS!I68</f>
        <v>0</v>
      </c>
      <c r="K57" s="106"/>
      <c r="L57" s="106"/>
    </row>
    <row r="58" spans="2:12" ht="14.5">
      <c r="B58" s="81" t="s">
        <v>170</v>
      </c>
      <c r="C58" s="106"/>
      <c r="D58" s="106"/>
      <c r="E58" s="106"/>
      <c r="F58" s="119">
        <f>BS!F79-BS!E79</f>
        <v>0</v>
      </c>
      <c r="G58" s="119">
        <f>BS!G79-BS!F79</f>
        <v>0</v>
      </c>
      <c r="H58" s="119">
        <f>BS!H79-BS!G79</f>
        <v>0</v>
      </c>
      <c r="I58" s="119">
        <f>BS!I79-BS!H79</f>
        <v>0</v>
      </c>
      <c r="J58" s="119">
        <f>BS!J79-BS!I79</f>
        <v>0</v>
      </c>
      <c r="K58" s="106"/>
      <c r="L58" s="106"/>
    </row>
    <row r="59" spans="2:12" ht="14.5">
      <c r="B59" s="81" t="s">
        <v>171</v>
      </c>
      <c r="C59" s="106"/>
      <c r="D59" s="106"/>
      <c r="E59" s="106"/>
      <c r="F59" s="119">
        <f>BS!F80-BS!E80</f>
        <v>0</v>
      </c>
      <c r="G59" s="119">
        <f>BS!G80-BS!F80</f>
        <v>0</v>
      </c>
      <c r="H59" s="119">
        <f>BS!H80-BS!G80</f>
        <v>0</v>
      </c>
      <c r="I59" s="119">
        <f>BS!I80-BS!H80</f>
        <v>0</v>
      </c>
      <c r="J59" s="119">
        <f>BS!J80-BS!I80</f>
        <v>0</v>
      </c>
      <c r="K59" s="106"/>
      <c r="L59" s="106"/>
    </row>
    <row r="60" spans="2:12" ht="14.5">
      <c r="B60" s="81" t="s">
        <v>172</v>
      </c>
      <c r="C60" s="106"/>
      <c r="D60" s="106"/>
      <c r="E60" s="106"/>
      <c r="F60" s="119">
        <f>BS!F81-BS!E81</f>
        <v>0</v>
      </c>
      <c r="G60" s="119">
        <f>BS!G81-BS!F81</f>
        <v>0</v>
      </c>
      <c r="H60" s="119">
        <f>BS!H81-BS!G81</f>
        <v>0</v>
      </c>
      <c r="I60" s="119">
        <f>BS!I81-BS!H81</f>
        <v>0</v>
      </c>
      <c r="J60" s="119">
        <f>BS!J81-BS!I81</f>
        <v>0</v>
      </c>
      <c r="K60" s="106"/>
      <c r="L60" s="106"/>
    </row>
    <row r="61" spans="2:12" ht="14.5">
      <c r="B61" s="81" t="s">
        <v>173</v>
      </c>
      <c r="C61" s="106"/>
      <c r="D61" s="106"/>
      <c r="E61" s="106"/>
      <c r="F61" s="119">
        <f>BS!F82-BS!E82</f>
        <v>0</v>
      </c>
      <c r="G61" s="119">
        <f>BS!G82-BS!F82</f>
        <v>0</v>
      </c>
      <c r="H61" s="119">
        <f>BS!H82-BS!G82</f>
        <v>0</v>
      </c>
      <c r="I61" s="119">
        <f>BS!I82-BS!H82</f>
        <v>0</v>
      </c>
      <c r="J61" s="119">
        <f>BS!J82-BS!I82</f>
        <v>0</v>
      </c>
      <c r="K61" s="106"/>
      <c r="L61" s="106"/>
    </row>
    <row r="62" spans="2:12" ht="14.5">
      <c r="B62" s="81" t="s">
        <v>174</v>
      </c>
      <c r="C62" s="106"/>
      <c r="D62" s="106"/>
      <c r="E62" s="106"/>
      <c r="F62" s="119">
        <f>BS!F83-BS!E83</f>
        <v>0</v>
      </c>
      <c r="G62" s="119">
        <f>BS!G83-BS!F83</f>
        <v>0</v>
      </c>
      <c r="H62" s="119">
        <f>BS!H83-BS!G83</f>
        <v>0</v>
      </c>
      <c r="I62" s="119">
        <f>BS!I83-BS!H83</f>
        <v>0</v>
      </c>
      <c r="J62" s="119">
        <f>BS!J83-BS!I83</f>
        <v>0</v>
      </c>
      <c r="K62" s="106"/>
      <c r="L62" s="106"/>
    </row>
    <row r="63" spans="2:12" ht="14.5">
      <c r="B63" s="81" t="s">
        <v>175</v>
      </c>
      <c r="C63" s="106"/>
      <c r="D63" s="106"/>
      <c r="E63" s="106"/>
      <c r="F63" s="119">
        <f>BS!F84-BS!E84</f>
        <v>0</v>
      </c>
      <c r="G63" s="119">
        <f>BS!G84-BS!F84</f>
        <v>0</v>
      </c>
      <c r="H63" s="119">
        <f>BS!H84-BS!G84</f>
        <v>0</v>
      </c>
      <c r="I63" s="119">
        <f>BS!I84-BS!H84</f>
        <v>0</v>
      </c>
      <c r="J63" s="119">
        <f>BS!J84-BS!I84</f>
        <v>0</v>
      </c>
      <c r="K63" s="106"/>
      <c r="L63" s="106"/>
    </row>
    <row r="64" spans="2:12" ht="14.5">
      <c r="B64" s="81" t="s">
        <v>176</v>
      </c>
      <c r="C64" s="106"/>
      <c r="D64" s="106"/>
      <c r="E64" s="106"/>
      <c r="F64" s="119">
        <f ca="1">-F8</f>
        <v>-918.15246978162008</v>
      </c>
      <c r="G64" s="119">
        <f ca="1">-G8</f>
        <v>-678.80716263609702</v>
      </c>
      <c r="H64" s="119">
        <f ca="1">-H8</f>
        <v>-455.38934767939054</v>
      </c>
      <c r="I64" s="119">
        <f ca="1">-I8</f>
        <v>-208.42729581992103</v>
      </c>
      <c r="J64" s="119">
        <f ca="1">-J8</f>
        <v>67.247942304609751</v>
      </c>
      <c r="K64" s="106"/>
      <c r="L64" s="106"/>
    </row>
    <row r="65" spans="2:12" ht="14.5">
      <c r="B65" s="81" t="s">
        <v>177</v>
      </c>
      <c r="C65" s="106"/>
      <c r="D65" s="106"/>
      <c r="E65" s="106"/>
      <c r="F65" s="119">
        <f ca="1">IS!F27</f>
        <v>-14263.493562592252</v>
      </c>
      <c r="G65" s="119">
        <f ca="1">IS!G27</f>
        <v>-14864.457908338287</v>
      </c>
      <c r="H65" s="119">
        <f ca="1">IS!H27</f>
        <v>-15622.263208732338</v>
      </c>
      <c r="I65" s="119">
        <f ca="1">IS!I27</f>
        <v>-16594.662314522204</v>
      </c>
      <c r="J65" s="119">
        <f ca="1">IS!J27</f>
        <v>-17840.647281091584</v>
      </c>
      <c r="K65" s="106"/>
      <c r="L65" s="106"/>
    </row>
    <row r="66" spans="2:12" ht="14.5">
      <c r="B66" s="139" t="s">
        <v>162</v>
      </c>
      <c r="C66" s="142"/>
      <c r="D66" s="142"/>
      <c r="E66" s="142"/>
      <c r="F66" s="141">
        <f ca="1">SUM(F51:F65)</f>
        <v>-15181.646032373872</v>
      </c>
      <c r="G66" s="141">
        <f ca="1">SUM(G51:G65)</f>
        <v>-15543.265070974383</v>
      </c>
      <c r="H66" s="141">
        <f ca="1">SUM(H51:H65)</f>
        <v>-16077.652556411729</v>
      </c>
      <c r="I66" s="141">
        <f ca="1">SUM(I51:I65)</f>
        <v>-16803.089610342126</v>
      </c>
      <c r="J66" s="141">
        <f ca="1">SUM(J51:J65)</f>
        <v>-17773.399338786974</v>
      </c>
      <c r="K66" s="106"/>
      <c r="L66" s="106"/>
    </row>
    <row r="67" spans="2:12">
      <c r="B67" s="81"/>
      <c r="C67" s="106"/>
      <c r="D67" s="106"/>
      <c r="E67" s="106"/>
      <c r="F67" s="119"/>
      <c r="G67" s="119"/>
      <c r="H67" s="119"/>
      <c r="I67" s="119"/>
      <c r="J67" s="119"/>
      <c r="K67" s="106"/>
      <c r="L67" s="106"/>
    </row>
    <row r="68" spans="2:12" ht="14.5">
      <c r="B68" s="81" t="s">
        <v>178</v>
      </c>
      <c r="C68" s="106"/>
      <c r="D68" s="106"/>
      <c r="E68" s="106"/>
      <c r="F68" s="119">
        <f>BS!E5</f>
        <v>81673.850000000006</v>
      </c>
      <c r="G68" s="119">
        <f ca="1">BS!F5</f>
        <v>101353.33966198217</v>
      </c>
      <c r="H68" s="119">
        <f ca="1">BS!G5</f>
        <v>117132.41402155896</v>
      </c>
      <c r="I68" s="119">
        <f ca="1">BS!H5</f>
        <v>134452.27521112392</v>
      </c>
      <c r="J68" s="119">
        <f ca="1">BS!I5</f>
        <v>153719.38466740627</v>
      </c>
      <c r="K68" s="106"/>
      <c r="L68" s="106"/>
    </row>
    <row r="69" spans="2:12" ht="14.5">
      <c r="B69" s="81" t="s">
        <v>179</v>
      </c>
      <c r="C69" s="106"/>
      <c r="D69" s="106"/>
      <c r="E69" s="106"/>
      <c r="F69" s="119">
        <f ca="1">F17+F48+F66</f>
        <v>19679.489661982174</v>
      </c>
      <c r="G69" s="119">
        <f ca="1">G17+G48+G66</f>
        <v>15779.074359576789</v>
      </c>
      <c r="H69" s="119">
        <f ca="1">H17+H48+H66</f>
        <v>17319.861189564956</v>
      </c>
      <c r="I69" s="119">
        <f ca="1">I17+I48+I66</f>
        <v>19267.109456282327</v>
      </c>
      <c r="J69" s="119">
        <f ca="1">J17+J48+J66</f>
        <v>21573.666562166673</v>
      </c>
      <c r="K69" s="106"/>
      <c r="L69" s="106"/>
    </row>
    <row r="70" spans="2:12" ht="14.5">
      <c r="B70" s="144" t="s">
        <v>180</v>
      </c>
      <c r="C70" s="145"/>
      <c r="D70" s="145"/>
      <c r="E70" s="123">
        <f t="shared" ref="E70" si="0">E68+E69</f>
        <v>0</v>
      </c>
      <c r="F70" s="123">
        <f ca="1">SUM(F68:F69)</f>
        <v>101353.33966198217</v>
      </c>
      <c r="G70" s="123">
        <f ca="1">SUM(G68:G69)</f>
        <v>117132.41402155896</v>
      </c>
      <c r="H70" s="123">
        <f ca="1">SUM(H68:H69)</f>
        <v>134452.27521112392</v>
      </c>
      <c r="I70" s="123">
        <f ca="1">SUM(I68:I69)</f>
        <v>153719.38466740627</v>
      </c>
      <c r="J70" s="123">
        <f ca="1">SUM(J68:J69)</f>
        <v>175293.05122957294</v>
      </c>
      <c r="K70" s="106"/>
      <c r="L70" s="106"/>
    </row>
    <row r="71" spans="2:12">
      <c r="B71" s="81"/>
      <c r="C71" s="106"/>
      <c r="D71" s="106"/>
      <c r="E71" s="106"/>
      <c r="F71" s="106"/>
      <c r="G71" s="106"/>
      <c r="H71" s="106"/>
      <c r="I71" s="106"/>
      <c r="J71" s="106"/>
      <c r="K71" s="106"/>
      <c r="L71" s="106"/>
    </row>
    <row r="72" spans="2:12" ht="14.5">
      <c r="B72" s="81" t="s">
        <v>181</v>
      </c>
      <c r="C72" s="106"/>
      <c r="D72" s="106"/>
      <c r="E72" s="106"/>
      <c r="F72" s="119">
        <f>IS!F4*Assumptions!F28</f>
        <v>76789.74298645751</v>
      </c>
      <c r="G72" s="119">
        <f>IS!G4*Assumptions!G28</f>
        <v>81115.424139944022</v>
      </c>
      <c r="H72" s="119">
        <f>IS!H4*Assumptions!H28</f>
        <v>86366.037631256302</v>
      </c>
      <c r="I72" s="119">
        <f>IS!I4*Assumptions!I28</f>
        <v>92758.246534999562</v>
      </c>
      <c r="J72" s="119">
        <f>IS!J4*Assumptions!J28</f>
        <v>100564.71180590632</v>
      </c>
      <c r="K72" s="106"/>
      <c r="L72" s="106"/>
    </row>
    <row r="73" spans="2:12">
      <c r="B73" s="81"/>
      <c r="C73" s="106"/>
      <c r="D73" s="106"/>
      <c r="E73" s="106"/>
      <c r="F73" s="119"/>
      <c r="G73" s="119"/>
      <c r="H73" s="119"/>
      <c r="I73" s="119"/>
      <c r="J73" s="119"/>
      <c r="K73" s="106"/>
      <c r="L73" s="106"/>
    </row>
    <row r="74" spans="2:12" ht="14.5">
      <c r="B74" s="81" t="s">
        <v>182</v>
      </c>
      <c r="C74" s="106"/>
      <c r="D74" s="106"/>
      <c r="E74" s="106"/>
      <c r="F74" s="119">
        <f ca="1">MAX(F72-F70,0)</f>
        <v>0</v>
      </c>
      <c r="G74" s="119">
        <f ca="1">MAX(G72-G70,0)</f>
        <v>0</v>
      </c>
      <c r="H74" s="119">
        <f ca="1">MAX(H72-H70,0)</f>
        <v>0</v>
      </c>
      <c r="I74" s="119">
        <f ca="1">MAX(I72-I70,0)</f>
        <v>0</v>
      </c>
      <c r="J74" s="119">
        <f ca="1">MAX(J72-J70,0)</f>
        <v>0</v>
      </c>
      <c r="K74" s="106"/>
      <c r="L74" s="106"/>
    </row>
    <row r="75" spans="2:12">
      <c r="B75" s="81"/>
      <c r="C75" s="106"/>
      <c r="D75" s="106"/>
      <c r="E75" s="106"/>
      <c r="F75" s="119"/>
      <c r="G75" s="119"/>
      <c r="H75" s="119"/>
      <c r="I75" s="119"/>
      <c r="J75" s="119"/>
      <c r="K75" s="106"/>
      <c r="L75" s="106"/>
    </row>
    <row r="76" spans="2:12" ht="14.5">
      <c r="B76" s="81" t="s">
        <v>183</v>
      </c>
      <c r="C76" s="106"/>
      <c r="D76" s="106"/>
      <c r="E76" s="106"/>
      <c r="F76" s="119">
        <f ca="1">MAX(F70,F72)</f>
        <v>101353.33966198217</v>
      </c>
      <c r="G76" s="119">
        <f ca="1">MAX(G70,G72)</f>
        <v>117132.41402155896</v>
      </c>
      <c r="H76" s="119">
        <f ca="1">MAX(H70,H72)</f>
        <v>134452.27521112392</v>
      </c>
      <c r="I76" s="119">
        <f ca="1">MAX(I70,I72)</f>
        <v>153719.38466740627</v>
      </c>
      <c r="J76" s="119">
        <f ca="1">MAX(J70,J72)</f>
        <v>175293.05122957294</v>
      </c>
      <c r="K76" s="106"/>
      <c r="L76" s="106"/>
    </row>
  </sheetData>
  <sheetProtection formatCells="0" insertHyperlinks="0" autoFilter="0"/>
  <phoneticPr fontId="40" type="noConversion"/>
  <pageMargins left="0.25" right="0.25" top="0.75" bottom="0.75" header="0.3" footer="0.3"/>
  <pageSetup paperSize="9" scale="84" fitToHeight="0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P26"/>
  <sheetViews>
    <sheetView showGridLines="0" zoomScale="127" zoomScaleNormal="80" workbookViewId="0"/>
  </sheetViews>
  <sheetFormatPr defaultColWidth="0" defaultRowHeight="12.5"/>
  <cols>
    <col min="1" max="1" width="3.796875" style="1" customWidth="1"/>
    <col min="2" max="2" width="21.19921875" style="1" customWidth="1"/>
    <col min="3" max="3" width="7.59765625" style="1" customWidth="1"/>
    <col min="4" max="5" width="11.3984375" style="1" bestFit="1" customWidth="1"/>
    <col min="6" max="10" width="10.69921875" style="1" customWidth="1"/>
    <col min="11" max="11" width="9" style="1" customWidth="1"/>
    <col min="12" max="68" width="0" style="1" hidden="1" customWidth="1"/>
    <col min="69" max="16384" width="9" style="1" hidden="1"/>
  </cols>
  <sheetData>
    <row r="2" spans="1:68" ht="14.5">
      <c r="A2" s="2"/>
      <c r="B2" s="99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  <c r="K2" s="106"/>
      <c r="L2" s="106"/>
      <c r="N2" s="106"/>
      <c r="O2" s="106"/>
      <c r="P2" s="106"/>
      <c r="Q2" s="106"/>
      <c r="R2" s="106"/>
      <c r="S2" s="106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</row>
    <row r="4" spans="1:68" ht="14.5">
      <c r="B4" s="1" t="s">
        <v>35</v>
      </c>
      <c r="C4" s="118"/>
      <c r="D4" s="119">
        <f>BS!D8</f>
        <v>4758.13</v>
      </c>
      <c r="E4" s="119">
        <f>BS!E8</f>
        <v>5521.96</v>
      </c>
      <c r="F4" s="119">
        <f>BS!F8</f>
        <v>5791.4627944364947</v>
      </c>
      <c r="G4" s="119">
        <f>BS!G8</f>
        <v>6117.7045617182321</v>
      </c>
      <c r="H4" s="119">
        <f>BS!H8</f>
        <v>6513.7044895766212</v>
      </c>
      <c r="I4" s="119">
        <f>BS!I8</f>
        <v>6995.8032517358279</v>
      </c>
      <c r="J4" s="119">
        <f>BS!J8</f>
        <v>7584.5648677304325</v>
      </c>
    </row>
    <row r="5" spans="1:68" ht="14.5">
      <c r="B5" s="1" t="s">
        <v>36</v>
      </c>
      <c r="C5" s="118"/>
      <c r="D5" s="119">
        <f>BS!D9</f>
        <v>28237.97</v>
      </c>
      <c r="E5" s="119">
        <f>BS!E9</f>
        <v>32884.74</v>
      </c>
      <c r="F5" s="119">
        <f>BS!F9</f>
        <v>34489.700797310652</v>
      </c>
      <c r="G5" s="119">
        <f>BS!G9</f>
        <v>36432.557263891445</v>
      </c>
      <c r="H5" s="119">
        <f>BS!H9</f>
        <v>38790.842124274692</v>
      </c>
      <c r="I5" s="119">
        <f>BS!I9</f>
        <v>41661.868435209093</v>
      </c>
      <c r="J5" s="119">
        <f>BS!J9</f>
        <v>45168.100400663825</v>
      </c>
    </row>
    <row r="6" spans="1:68" ht="14.5">
      <c r="B6" s="1" t="s">
        <v>37</v>
      </c>
      <c r="C6" s="118"/>
      <c r="D6" s="119">
        <f>BS!D10</f>
        <v>13526.54</v>
      </c>
      <c r="E6" s="119">
        <f>BS!E10</f>
        <v>13330.01</v>
      </c>
      <c r="F6" s="119">
        <f>BS!F10</f>
        <v>13980.589675489577</v>
      </c>
      <c r="G6" s="119">
        <f>BS!G10</f>
        <v>14768.13721663135</v>
      </c>
      <c r="H6" s="119">
        <f>BS!H10</f>
        <v>15724.080939213842</v>
      </c>
      <c r="I6" s="119">
        <f>BS!I10</f>
        <v>16887.867225345912</v>
      </c>
      <c r="J6" s="119">
        <f>BS!J10</f>
        <v>18309.137612821414</v>
      </c>
    </row>
    <row r="7" spans="1:68" ht="14.5">
      <c r="B7" s="1" t="s">
        <v>38</v>
      </c>
      <c r="C7" s="118"/>
      <c r="D7" s="119">
        <f>BS!D11</f>
        <v>4367.21</v>
      </c>
      <c r="E7" s="119">
        <f>BS!E11</f>
        <v>3316.19</v>
      </c>
      <c r="F7" s="119">
        <f>BS!F11</f>
        <v>3433.6891323695932</v>
      </c>
      <c r="G7" s="119">
        <f>BS!G11</f>
        <v>3631.5313649001014</v>
      </c>
      <c r="H7" s="119">
        <f>BS!H11</f>
        <v>3870.2798013903503</v>
      </c>
      <c r="I7" s="119">
        <f>BS!I11</f>
        <v>4159.234159277783</v>
      </c>
      <c r="J7" s="119">
        <f>BS!J11</f>
        <v>4510.0316680406067</v>
      </c>
    </row>
    <row r="8" spans="1:68" ht="14.5">
      <c r="B8" s="1" t="s">
        <v>39</v>
      </c>
      <c r="C8" s="118"/>
      <c r="D8" s="119">
        <f>BS!D12</f>
        <v>2211.1799999999998</v>
      </c>
      <c r="E8" s="119">
        <f>BS!E12</f>
        <v>2181.88</v>
      </c>
      <c r="F8" s="119">
        <f>BS!F12</f>
        <v>2499.0433333333335</v>
      </c>
      <c r="G8" s="119">
        <f>BS!G12</f>
        <v>2499.0433333333335</v>
      </c>
      <c r="H8" s="119">
        <f>BS!H12</f>
        <v>2499.0433333333335</v>
      </c>
      <c r="I8" s="119">
        <f>BS!I12</f>
        <v>2499.0433333333335</v>
      </c>
      <c r="J8" s="119">
        <f>BS!J12</f>
        <v>2499.0433333333335</v>
      </c>
    </row>
    <row r="9" spans="1:68" ht="14.5">
      <c r="B9" s="1" t="s">
        <v>41</v>
      </c>
      <c r="C9" s="118"/>
      <c r="D9" s="119">
        <f>BS!D13</f>
        <v>46044.9</v>
      </c>
      <c r="E9" s="119">
        <f>BS!E13</f>
        <v>47339.26</v>
      </c>
      <c r="F9" s="119">
        <f>BS!F13</f>
        <v>49016.58306563212</v>
      </c>
      <c r="G9" s="119">
        <f>BS!G13</f>
        <v>51840.819579445328</v>
      </c>
      <c r="H9" s="119">
        <f>BS!H13</f>
        <v>55249.000144975456</v>
      </c>
      <c r="I9" s="119">
        <f>BS!I13</f>
        <v>59373.880045151935</v>
      </c>
      <c r="J9" s="119">
        <f>BS!J13</f>
        <v>64381.583003871303</v>
      </c>
    </row>
    <row r="10" spans="1:68" ht="14.5">
      <c r="B10" s="1" t="s">
        <v>42</v>
      </c>
      <c r="C10" s="118"/>
      <c r="D10" s="119">
        <f>BS!D14</f>
        <v>4498.96</v>
      </c>
      <c r="E10" s="119">
        <f>BS!E14</f>
        <v>4045.93</v>
      </c>
      <c r="F10" s="119">
        <f>BS!F14</f>
        <v>4243.3942049370962</v>
      </c>
      <c r="G10" s="119">
        <f>BS!G14</f>
        <v>4482.4309515810774</v>
      </c>
      <c r="H10" s="119">
        <f>BS!H14</f>
        <v>4772.5793749887243</v>
      </c>
      <c r="I10" s="119">
        <f>BS!I14</f>
        <v>5125.8122569333227</v>
      </c>
      <c r="J10" s="119">
        <f>BS!J14</f>
        <v>5557.1968169448137</v>
      </c>
    </row>
    <row r="11" spans="1:68" ht="14.5">
      <c r="B11" s="1" t="s">
        <v>43</v>
      </c>
      <c r="C11" s="118"/>
      <c r="D11" s="119">
        <f>BS!D15</f>
        <v>0</v>
      </c>
      <c r="E11" s="119">
        <f>BS!E15</f>
        <v>0</v>
      </c>
      <c r="F11" s="119">
        <f>BS!F15</f>
        <v>0</v>
      </c>
      <c r="G11" s="119">
        <f>BS!G15</f>
        <v>0</v>
      </c>
      <c r="H11" s="119">
        <f>BS!H15</f>
        <v>0</v>
      </c>
      <c r="I11" s="119">
        <f>BS!I15</f>
        <v>0</v>
      </c>
      <c r="J11" s="119">
        <f>BS!J15</f>
        <v>0</v>
      </c>
    </row>
    <row r="12" spans="1:68" ht="14.5">
      <c r="B12" s="1" t="s">
        <v>44</v>
      </c>
      <c r="C12" s="118"/>
      <c r="D12" s="119">
        <f>BS!D16</f>
        <v>37553.08</v>
      </c>
      <c r="E12" s="119">
        <f>BS!E16</f>
        <v>10760.58</v>
      </c>
      <c r="F12" s="119">
        <f>BS!F16</f>
        <v>22721.74666666667</v>
      </c>
      <c r="G12" s="119">
        <f>BS!G16</f>
        <v>22721.74666666667</v>
      </c>
      <c r="H12" s="119">
        <f>BS!H16</f>
        <v>22721.74666666667</v>
      </c>
      <c r="I12" s="119">
        <f>BS!I16</f>
        <v>22721.74666666667</v>
      </c>
      <c r="J12" s="119">
        <f>BS!J16</f>
        <v>22721.74666666667</v>
      </c>
    </row>
    <row r="13" spans="1:68" ht="14.5">
      <c r="B13" s="1" t="s">
        <v>45</v>
      </c>
      <c r="C13" s="118"/>
      <c r="D13" s="119">
        <f>BS!D17</f>
        <v>46542.38</v>
      </c>
      <c r="E13" s="119">
        <f>BS!E17</f>
        <v>62900.89</v>
      </c>
      <c r="F13" s="119">
        <f>BS!F17</f>
        <v>47533.093333333331</v>
      </c>
      <c r="G13" s="119">
        <f>BS!G17</f>
        <v>47533.093333333331</v>
      </c>
      <c r="H13" s="119">
        <f>BS!H17</f>
        <v>47533.093333333331</v>
      </c>
      <c r="I13" s="119">
        <f>BS!I17</f>
        <v>47533.093333333331</v>
      </c>
      <c r="J13" s="119">
        <f>BS!J17</f>
        <v>47533.093333333331</v>
      </c>
    </row>
    <row r="14" spans="1:68" ht="14.5">
      <c r="B14" s="159" t="s">
        <v>184</v>
      </c>
      <c r="C14" s="141"/>
      <c r="D14" s="141">
        <f t="shared" ref="D14:J14" si="0">SUM(D4:D13)</f>
        <v>187740.35</v>
      </c>
      <c r="E14" s="141">
        <f t="shared" si="0"/>
        <v>182281.44</v>
      </c>
      <c r="F14" s="141">
        <f t="shared" si="0"/>
        <v>183709.30300350886</v>
      </c>
      <c r="G14" s="141">
        <f t="shared" si="0"/>
        <v>190027.06427150086</v>
      </c>
      <c r="H14" s="141">
        <f t="shared" si="0"/>
        <v>197674.370207753</v>
      </c>
      <c r="I14" s="141">
        <f t="shared" si="0"/>
        <v>206958.34870698722</v>
      </c>
      <c r="J14" s="141">
        <f t="shared" si="0"/>
        <v>218264.49770340571</v>
      </c>
    </row>
    <row r="15" spans="1:68" ht="13">
      <c r="B15" s="56"/>
      <c r="C15" s="118"/>
      <c r="D15" s="119"/>
      <c r="E15" s="119"/>
      <c r="F15" s="119"/>
      <c r="G15" s="119"/>
      <c r="H15" s="119"/>
      <c r="I15" s="119"/>
      <c r="J15" s="119"/>
    </row>
    <row r="16" spans="1:68" ht="14.5">
      <c r="B16" s="1" t="s">
        <v>79</v>
      </c>
      <c r="C16" s="118"/>
      <c r="D16" s="119">
        <f>BS!D53</f>
        <v>25572.42</v>
      </c>
      <c r="E16" s="119">
        <f>BS!E53</f>
        <v>21707.61</v>
      </c>
      <c r="F16" s="119">
        <f>BS!F53</f>
        <v>22476.753306269391</v>
      </c>
      <c r="G16" s="119">
        <f>BS!G53</f>
        <v>23771.818433810815</v>
      </c>
      <c r="H16" s="119">
        <f>BS!H53</f>
        <v>25334.6534786786</v>
      </c>
      <c r="I16" s="119">
        <f>BS!I53</f>
        <v>27226.133915209921</v>
      </c>
      <c r="J16" s="119">
        <f>BS!J53</f>
        <v>29522.43645191468</v>
      </c>
    </row>
    <row r="17" spans="2:10" ht="14.5">
      <c r="B17" s="1" t="s">
        <v>80</v>
      </c>
      <c r="C17" s="118"/>
      <c r="D17" s="119">
        <f>BS!D54</f>
        <v>64233.23</v>
      </c>
      <c r="E17" s="119">
        <f>BS!E54</f>
        <v>72530.47</v>
      </c>
      <c r="F17" s="119">
        <f>BS!F54</f>
        <v>75100.367169751669</v>
      </c>
      <c r="G17" s="119">
        <f>BS!G54</f>
        <v>79427.498640290782</v>
      </c>
      <c r="H17" s="119">
        <f>BS!H54</f>
        <v>84649.315336681189</v>
      </c>
      <c r="I17" s="119">
        <f>BS!I54</f>
        <v>90969.217207841662</v>
      </c>
      <c r="J17" s="119">
        <f>BS!J54</f>
        <v>98641.729393632209</v>
      </c>
    </row>
    <row r="18" spans="2:10" ht="14.5">
      <c r="B18" s="1" t="s">
        <v>81</v>
      </c>
      <c r="C18" s="118"/>
      <c r="D18" s="119">
        <f>BS!D55</f>
        <v>0</v>
      </c>
      <c r="E18" s="119">
        <f>BS!E55</f>
        <v>0</v>
      </c>
      <c r="F18" s="119">
        <f>BS!F55</f>
        <v>0</v>
      </c>
      <c r="G18" s="119">
        <f>BS!G55</f>
        <v>0</v>
      </c>
      <c r="H18" s="119">
        <f>BS!H55</f>
        <v>0</v>
      </c>
      <c r="I18" s="119">
        <f>BS!I55</f>
        <v>0</v>
      </c>
      <c r="J18" s="119">
        <f>BS!J55</f>
        <v>0</v>
      </c>
    </row>
    <row r="19" spans="2:10" ht="14.5">
      <c r="B19" s="1" t="s">
        <v>185</v>
      </c>
      <c r="C19" s="119"/>
      <c r="D19" s="119">
        <f>BS!D56</f>
        <v>27960.04</v>
      </c>
      <c r="E19" s="119">
        <f>BS!E56</f>
        <v>41765.480000000003</v>
      </c>
      <c r="F19" s="119">
        <f>BS!F56</f>
        <v>43803.871000836938</v>
      </c>
      <c r="G19" s="119">
        <f>BS!G56</f>
        <v>46271.408615482833</v>
      </c>
      <c r="H19" s="119">
        <f>BS!H56</f>
        <v>49266.563789908396</v>
      </c>
      <c r="I19" s="119">
        <f>BS!I56</f>
        <v>52912.929610918523</v>
      </c>
      <c r="J19" s="119">
        <f>BS!J56</f>
        <v>57366.042545019889</v>
      </c>
    </row>
    <row r="20" spans="2:10" ht="14.5">
      <c r="B20" s="1" t="s">
        <v>83</v>
      </c>
      <c r="C20" s="118"/>
      <c r="D20" s="119">
        <f>BS!D57</f>
        <v>7152.22</v>
      </c>
      <c r="E20" s="119">
        <f>BS!E57</f>
        <v>9076.0300000000007</v>
      </c>
      <c r="F20" s="119">
        <f>BS!F57</f>
        <v>9518.9914570531946</v>
      </c>
      <c r="G20" s="119">
        <f>BS!G57</f>
        <v>10055.210492885049</v>
      </c>
      <c r="H20" s="119">
        <f>BS!H57</f>
        <v>10706.085766382244</v>
      </c>
      <c r="I20" s="119">
        <f>BS!I57</f>
        <v>11498.475212941043</v>
      </c>
      <c r="J20" s="119">
        <f>BS!J57</f>
        <v>12466.178363564284</v>
      </c>
    </row>
    <row r="21" spans="2:10" ht="14.5">
      <c r="B21" s="1" t="s">
        <v>84</v>
      </c>
      <c r="C21" s="118"/>
      <c r="D21" s="119">
        <f>BS!D58</f>
        <v>4955.34</v>
      </c>
      <c r="E21" s="119">
        <f>BS!E58</f>
        <v>5455.1</v>
      </c>
      <c r="F21" s="119">
        <f>BS!F58</f>
        <v>5455.1</v>
      </c>
      <c r="G21" s="119">
        <f>BS!G58</f>
        <v>5455.1</v>
      </c>
      <c r="H21" s="119">
        <f>BS!H58</f>
        <v>5455.1</v>
      </c>
      <c r="I21" s="119">
        <f>BS!I58</f>
        <v>5455.1</v>
      </c>
      <c r="J21" s="119">
        <f>BS!J58</f>
        <v>5455.1</v>
      </c>
    </row>
    <row r="22" spans="2:10" ht="14.5">
      <c r="B22" s="1" t="s">
        <v>86</v>
      </c>
      <c r="C22" s="118"/>
      <c r="D22" s="119">
        <f>BS!D59</f>
        <v>4322.03</v>
      </c>
      <c r="E22" s="119">
        <f>BS!E59</f>
        <v>4442.93</v>
      </c>
      <c r="F22" s="119">
        <f>BS!F59</f>
        <v>4351.0200000000004</v>
      </c>
      <c r="G22" s="119">
        <f>BS!G59</f>
        <v>4351.0200000000004</v>
      </c>
      <c r="H22" s="119">
        <f>BS!H59</f>
        <v>4351.0200000000004</v>
      </c>
      <c r="I22" s="119">
        <f>BS!I59</f>
        <v>4351.0200000000004</v>
      </c>
      <c r="J22" s="119">
        <f>BS!J59</f>
        <v>4351.0200000000004</v>
      </c>
    </row>
    <row r="23" spans="2:10" ht="14.5">
      <c r="B23" s="1" t="s">
        <v>89</v>
      </c>
      <c r="C23" s="138"/>
      <c r="D23" s="119">
        <f>BS!D62</f>
        <v>57843.53</v>
      </c>
      <c r="E23" s="119">
        <f>BS!E62</f>
        <v>71297.929999999993</v>
      </c>
      <c r="F23" s="119">
        <f>BS!F62</f>
        <v>71297.929999999993</v>
      </c>
      <c r="G23" s="119">
        <f>BS!G62</f>
        <v>71297.929999999993</v>
      </c>
      <c r="H23" s="119">
        <f>BS!H62</f>
        <v>71297.929999999993</v>
      </c>
      <c r="I23" s="119">
        <f>BS!I62</f>
        <v>71297.929999999993</v>
      </c>
      <c r="J23" s="119">
        <f>BS!J62</f>
        <v>71297.929999999993</v>
      </c>
    </row>
    <row r="24" spans="2:10" ht="14.5">
      <c r="B24" s="159" t="s">
        <v>186</v>
      </c>
      <c r="C24" s="141"/>
      <c r="D24" s="123">
        <f t="shared" ref="D24:J24" si="1">SUM(D16:D23)</f>
        <v>192038.81</v>
      </c>
      <c r="E24" s="123">
        <f t="shared" si="1"/>
        <v>226275.55</v>
      </c>
      <c r="F24" s="123">
        <f t="shared" si="1"/>
        <v>232004.03293391116</v>
      </c>
      <c r="G24" s="123">
        <f t="shared" si="1"/>
        <v>240629.98618246947</v>
      </c>
      <c r="H24" s="123">
        <f t="shared" si="1"/>
        <v>251060.66837165042</v>
      </c>
      <c r="I24" s="123">
        <f t="shared" si="1"/>
        <v>263710.8059469111</v>
      </c>
      <c r="J24" s="123">
        <f t="shared" si="1"/>
        <v>279100.43675413105</v>
      </c>
    </row>
    <row r="25" spans="2:10" ht="13">
      <c r="B25" s="56"/>
      <c r="C25" s="118"/>
      <c r="D25" s="118"/>
      <c r="E25" s="118"/>
      <c r="F25" s="118"/>
      <c r="G25" s="118"/>
      <c r="H25" s="118"/>
      <c r="I25" s="118"/>
      <c r="J25" s="118"/>
    </row>
    <row r="26" spans="2:10" ht="14.5">
      <c r="B26" s="56" t="s">
        <v>187</v>
      </c>
      <c r="C26" s="118"/>
      <c r="D26" s="118">
        <f t="shared" ref="D26:J26" si="2">D14-D24</f>
        <v>-4298.4599999999919</v>
      </c>
      <c r="E26" s="118">
        <f t="shared" si="2"/>
        <v>-43994.109999999986</v>
      </c>
      <c r="F26" s="118">
        <f t="shared" si="2"/>
        <v>-48294.729930402304</v>
      </c>
      <c r="G26" s="118">
        <f t="shared" si="2"/>
        <v>-50602.921910968609</v>
      </c>
      <c r="H26" s="118">
        <f t="shared" si="2"/>
        <v>-53386.298163897416</v>
      </c>
      <c r="I26" s="118">
        <f t="shared" si="2"/>
        <v>-56752.457239923882</v>
      </c>
      <c r="J26" s="118">
        <f t="shared" si="2"/>
        <v>-60835.939050725341</v>
      </c>
    </row>
  </sheetData>
  <sheetProtection formatCells="0" insertHyperlinks="0" autoFilter="0"/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89"/>
  <sheetViews>
    <sheetView showGridLines="0" zoomScale="93" zoomScaleNormal="93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0" defaultRowHeight="12.5"/>
  <cols>
    <col min="1" max="1" width="3.3984375" style="1" customWidth="1"/>
    <col min="2" max="2" width="26" style="1" customWidth="1"/>
    <col min="3" max="3" width="9.19921875" style="1" customWidth="1"/>
    <col min="4" max="4" width="10.69921875" style="1" customWidth="1"/>
    <col min="5" max="5" width="12.8984375" style="1" customWidth="1"/>
    <col min="6" max="6" width="10.69921875" style="1" customWidth="1"/>
    <col min="7" max="10" width="11.19921875" style="1" customWidth="1"/>
    <col min="11" max="11" width="4.59765625" style="1" customWidth="1"/>
    <col min="12" max="12" width="28.796875" style="1" customWidth="1"/>
    <col min="13" max="19" width="0" style="1" hidden="1" customWidth="1"/>
    <col min="20" max="16384" width="9" style="1" hidden="1"/>
  </cols>
  <sheetData>
    <row r="1" spans="1:12" ht="13">
      <c r="A1" s="2"/>
      <c r="B1" s="81"/>
      <c r="C1" s="101"/>
      <c r="D1" s="101"/>
      <c r="E1" s="101"/>
      <c r="F1" s="102"/>
      <c r="G1" s="102"/>
      <c r="H1" s="102"/>
      <c r="I1" s="102"/>
      <c r="J1" s="102"/>
      <c r="K1" s="125"/>
      <c r="L1" s="125"/>
    </row>
    <row r="2" spans="1:12" ht="14.5">
      <c r="A2" s="2"/>
      <c r="B2" s="99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  <c r="K2" s="106"/>
      <c r="L2" s="106" t="s">
        <v>188</v>
      </c>
    </row>
    <row r="3" spans="1:12">
      <c r="A3" s="2"/>
      <c r="B3" s="81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2" ht="14.5">
      <c r="A4" s="2"/>
      <c r="B4" s="81" t="s">
        <v>189</v>
      </c>
      <c r="C4" s="106"/>
      <c r="D4" s="106"/>
      <c r="E4" s="106">
        <f>BS!E33</f>
        <v>30937.96</v>
      </c>
      <c r="F4" s="106">
        <f>E4+F44+F56</f>
        <v>35850.180708280212</v>
      </c>
      <c r="G4" s="106">
        <f>F4+G44+G56</f>
        <v>41039.114161169047</v>
      </c>
      <c r="H4" s="106">
        <f>G4+H44+H56</f>
        <v>46228.047614057883</v>
      </c>
      <c r="I4" s="106">
        <f>H4+I44+I56</f>
        <v>56876.20106694672</v>
      </c>
      <c r="J4" s="106">
        <f>I4+J44+J56</f>
        <v>62075.134519835556</v>
      </c>
      <c r="K4" s="106"/>
      <c r="L4" s="106"/>
    </row>
    <row r="5" spans="1:12" ht="14.5">
      <c r="A5" s="2"/>
      <c r="B5" s="81" t="s">
        <v>190</v>
      </c>
      <c r="C5" s="106"/>
      <c r="D5" s="106"/>
      <c r="E5" s="106"/>
      <c r="F5" s="106">
        <f>F71</f>
        <v>4981.22</v>
      </c>
      <c r="G5" s="106">
        <f>G71</f>
        <v>5281.22</v>
      </c>
      <c r="H5" s="106">
        <f>H71</f>
        <v>5449.22</v>
      </c>
      <c r="I5" s="106">
        <f>I71</f>
        <v>0</v>
      </c>
      <c r="J5" s="106">
        <f>J71</f>
        <v>0</v>
      </c>
      <c r="K5" s="106"/>
      <c r="L5" s="106"/>
    </row>
    <row r="6" spans="1:12" ht="14.5">
      <c r="A6" s="2"/>
      <c r="B6" s="81" t="s">
        <v>191</v>
      </c>
      <c r="C6" s="106"/>
      <c r="D6" s="106"/>
      <c r="E6" s="106">
        <f>BS!E37</f>
        <v>3048.79</v>
      </c>
      <c r="F6" s="106">
        <f>E6+F97+F108</f>
        <v>5327.3464740568834</v>
      </c>
      <c r="G6" s="106">
        <f t="shared" ref="G6:J6" si="0">F6+G97+G108</f>
        <v>7734.2574446084454</v>
      </c>
      <c r="H6" s="106">
        <f t="shared" si="0"/>
        <v>10296.968120929436</v>
      </c>
      <c r="I6" s="106">
        <f t="shared" si="0"/>
        <v>13049.35268356252</v>
      </c>
      <c r="J6" s="106">
        <f t="shared" si="0"/>
        <v>16033.37589076903</v>
      </c>
      <c r="K6" s="106"/>
      <c r="L6" s="106"/>
    </row>
    <row r="7" spans="1:12" ht="14.5">
      <c r="A7" s="2"/>
      <c r="B7" s="81" t="s">
        <v>192</v>
      </c>
      <c r="C7" s="106"/>
      <c r="D7" s="106">
        <f>BS!D38</f>
        <v>16908.919999999998</v>
      </c>
      <c r="E7" s="106">
        <f>BS!E38</f>
        <v>18457.740000000002</v>
      </c>
      <c r="F7" s="106">
        <f>E7+F135+F146</f>
        <v>18787.242219260068</v>
      </c>
      <c r="G7" s="106">
        <f>F7+G135+G146</f>
        <v>19135.305791696388</v>
      </c>
      <c r="H7" s="106">
        <f>G7+H135+H146</f>
        <v>19505.899571040281</v>
      </c>
      <c r="I7" s="106">
        <f>H7+I135+I146</f>
        <v>19903.922105030855</v>
      </c>
      <c r="J7" s="106">
        <f>I7+J135+J146</f>
        <v>20301.944639021429</v>
      </c>
      <c r="K7" s="106"/>
      <c r="L7" s="106"/>
    </row>
    <row r="8" spans="1:12" ht="14.5">
      <c r="A8" s="2"/>
      <c r="B8" s="81" t="s">
        <v>193</v>
      </c>
      <c r="C8" s="106"/>
      <c r="D8" s="106"/>
      <c r="E8" s="106"/>
      <c r="F8" s="106">
        <f>F161</f>
        <v>0</v>
      </c>
      <c r="G8" s="106">
        <f>G161</f>
        <v>0</v>
      </c>
      <c r="H8" s="106">
        <f>H161</f>
        <v>0</v>
      </c>
      <c r="I8" s="106">
        <f>I161</f>
        <v>0</v>
      </c>
      <c r="J8" s="106">
        <f>J161</f>
        <v>0</v>
      </c>
      <c r="K8" s="106"/>
      <c r="L8" s="106"/>
    </row>
    <row r="9" spans="1:12" ht="14.5">
      <c r="A9" s="2"/>
      <c r="B9" s="81" t="s">
        <v>194</v>
      </c>
      <c r="C9" s="106"/>
      <c r="D9" s="106"/>
      <c r="E9" s="106">
        <f>BS!E41</f>
        <v>1736.2</v>
      </c>
      <c r="F9" s="106">
        <f>E9+F174+F185</f>
        <v>1690.8244894445781</v>
      </c>
      <c r="G9" s="106">
        <f>F9+G174+G185</f>
        <v>1637.3670416651414</v>
      </c>
      <c r="H9" s="106">
        <f>G9+H174+H185</f>
        <v>1576.6812886376015</v>
      </c>
      <c r="I9" s="106">
        <f>H9+I174+I185</f>
        <v>1509.8396836482314</v>
      </c>
      <c r="J9" s="106">
        <f>I9+J174+J185</f>
        <v>1438.1948370014297</v>
      </c>
      <c r="K9" s="106"/>
      <c r="L9" s="106"/>
    </row>
    <row r="10" spans="1:12" ht="14.5">
      <c r="A10" s="2"/>
      <c r="B10" s="81" t="s">
        <v>195</v>
      </c>
      <c r="C10" s="106"/>
      <c r="D10" s="106"/>
      <c r="E10" s="119">
        <f>E56+E108+E146+E185</f>
        <v>0</v>
      </c>
      <c r="F10" s="119">
        <f>F56+F108+F146+F185</f>
        <v>-209.30383216050865</v>
      </c>
      <c r="G10" s="119">
        <f t="shared" ref="G10:J10" si="1">G56+G108+G146+G185</f>
        <v>-226.62009709173884</v>
      </c>
      <c r="H10" s="119">
        <f t="shared" si="1"/>
        <v>-245.05724643220537</v>
      </c>
      <c r="I10" s="119">
        <f t="shared" si="1"/>
        <v>-264.85898437029823</v>
      </c>
      <c r="J10" s="119">
        <f t="shared" si="1"/>
        <v>-286.32722189513117</v>
      </c>
      <c r="K10" s="106"/>
      <c r="L10" s="106"/>
    </row>
    <row r="11" spans="1:12">
      <c r="A11" s="2"/>
      <c r="B11" s="81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1:12" ht="14.5">
      <c r="A12" s="2"/>
      <c r="B12" s="135" t="s">
        <v>196</v>
      </c>
      <c r="C12" s="136"/>
      <c r="D12" s="136"/>
      <c r="E12" s="136"/>
      <c r="F12" s="137"/>
      <c r="G12" s="137"/>
      <c r="H12" s="137"/>
      <c r="I12" s="137"/>
      <c r="J12" s="137"/>
      <c r="K12" s="125"/>
      <c r="L12" s="125"/>
    </row>
    <row r="13" spans="1:12" ht="14.5">
      <c r="A13" s="2"/>
      <c r="B13" s="81" t="s">
        <v>197</v>
      </c>
      <c r="C13" s="138"/>
      <c r="D13" s="138">
        <v>49877.675000000003</v>
      </c>
      <c r="E13" s="138">
        <v>54866.862000000001</v>
      </c>
      <c r="F13" s="106"/>
      <c r="G13" s="106"/>
      <c r="H13" s="106"/>
      <c r="I13" s="106"/>
      <c r="J13" s="106"/>
      <c r="K13" s="106"/>
      <c r="L13" s="106"/>
    </row>
    <row r="14" spans="1:12" ht="14.5">
      <c r="A14" s="2"/>
      <c r="B14" s="81" t="s">
        <v>198</v>
      </c>
      <c r="C14" s="106"/>
      <c r="D14" s="138">
        <v>4801.9440000000004</v>
      </c>
      <c r="E14" s="138">
        <v>4683.6329999999998</v>
      </c>
      <c r="F14" s="106"/>
      <c r="G14" s="106"/>
      <c r="H14" s="106"/>
      <c r="I14" s="106"/>
      <c r="J14" s="106"/>
      <c r="K14" s="106"/>
      <c r="L14" s="106"/>
    </row>
    <row r="15" spans="1:12" ht="14.5">
      <c r="A15" s="2"/>
      <c r="B15" s="81" t="s">
        <v>199</v>
      </c>
      <c r="C15" s="106"/>
      <c r="D15" s="138">
        <v>2110.91</v>
      </c>
      <c r="E15" s="138">
        <v>3466.6120000000001</v>
      </c>
      <c r="F15" s="106"/>
      <c r="G15" s="106"/>
      <c r="H15" s="106"/>
      <c r="I15" s="106"/>
      <c r="J15" s="106"/>
      <c r="K15" s="106"/>
      <c r="L15" s="106"/>
    </row>
    <row r="16" spans="1:12" ht="14.5">
      <c r="A16" s="2"/>
      <c r="B16" s="81" t="s">
        <v>200</v>
      </c>
      <c r="C16" s="106"/>
      <c r="D16" s="138">
        <v>0</v>
      </c>
      <c r="E16" s="138">
        <v>0</v>
      </c>
      <c r="F16" s="106"/>
      <c r="G16" s="106"/>
      <c r="H16" s="106"/>
      <c r="I16" s="106"/>
      <c r="J16" s="106"/>
      <c r="K16" s="106"/>
      <c r="L16" s="106"/>
    </row>
    <row r="17" spans="1:12" ht="14.5">
      <c r="A17" s="2"/>
      <c r="B17" s="81" t="s">
        <v>201</v>
      </c>
      <c r="C17" s="106"/>
      <c r="D17" s="138">
        <v>-1912.8610000000001</v>
      </c>
      <c r="E17" s="138">
        <v>-2827.74</v>
      </c>
      <c r="F17" s="106"/>
      <c r="G17" s="106"/>
      <c r="H17" s="106"/>
      <c r="I17" s="106"/>
      <c r="J17" s="106"/>
      <c r="K17" s="106"/>
      <c r="L17" s="106"/>
    </row>
    <row r="18" spans="1:12" ht="14.5">
      <c r="A18" s="2"/>
      <c r="B18" s="81" t="s">
        <v>202</v>
      </c>
      <c r="C18" s="106"/>
      <c r="D18" s="138">
        <v>-30.251999999999999</v>
      </c>
      <c r="E18" s="138">
        <v>5.8</v>
      </c>
      <c r="F18" s="106"/>
      <c r="G18" s="106"/>
      <c r="H18" s="106"/>
      <c r="I18" s="106"/>
      <c r="J18" s="106"/>
      <c r="K18" s="106"/>
      <c r="L18" s="106"/>
    </row>
    <row r="19" spans="1:12" ht="14.5">
      <c r="A19" s="2"/>
      <c r="B19" s="139" t="s">
        <v>203</v>
      </c>
      <c r="C19" s="140"/>
      <c r="D19" s="141">
        <f>SUM(D13:D18)</f>
        <v>54847.416000000012</v>
      </c>
      <c r="E19" s="141">
        <f>SUM(E13:E18)</f>
        <v>60195.167000000009</v>
      </c>
      <c r="F19" s="106"/>
      <c r="G19" s="106"/>
      <c r="H19" s="106"/>
      <c r="I19" s="106"/>
      <c r="J19" s="106"/>
      <c r="K19" s="106"/>
      <c r="L19" s="106"/>
    </row>
    <row r="20" spans="1:12">
      <c r="A20" s="2"/>
      <c r="B20" s="81"/>
      <c r="C20" s="106"/>
      <c r="D20" s="119"/>
      <c r="E20" s="119"/>
      <c r="F20" s="106"/>
      <c r="G20" s="106"/>
      <c r="H20" s="106"/>
      <c r="I20" s="106"/>
      <c r="J20" s="106"/>
      <c r="K20" s="106"/>
      <c r="L20" s="106"/>
    </row>
    <row r="21" spans="1:12" ht="14.5">
      <c r="A21" s="2"/>
      <c r="B21" s="81" t="s">
        <v>204</v>
      </c>
      <c r="C21" s="106"/>
      <c r="D21" s="138">
        <v>26974.507000000001</v>
      </c>
      <c r="E21" s="138">
        <v>28728.348000000002</v>
      </c>
      <c r="F21" s="106"/>
      <c r="G21" s="106"/>
      <c r="H21" s="106"/>
      <c r="I21" s="106"/>
      <c r="J21" s="106"/>
      <c r="K21" s="106"/>
      <c r="L21" s="106"/>
    </row>
    <row r="22" spans="1:12" ht="14.5">
      <c r="A22" s="2"/>
      <c r="B22" s="81" t="s">
        <v>205</v>
      </c>
      <c r="C22" s="106"/>
      <c r="D22" s="138">
        <v>3365.4450000000002</v>
      </c>
      <c r="E22" s="138">
        <v>3703.2849999999999</v>
      </c>
      <c r="F22" s="106"/>
      <c r="G22" s="106"/>
      <c r="H22" s="106"/>
      <c r="I22" s="106"/>
      <c r="J22" s="106"/>
      <c r="K22" s="106"/>
      <c r="L22" s="106"/>
    </row>
    <row r="23" spans="1:12" ht="14.5">
      <c r="A23" s="2"/>
      <c r="B23" s="81" t="s">
        <v>200</v>
      </c>
      <c r="C23" s="106"/>
      <c r="D23" s="138">
        <v>0</v>
      </c>
      <c r="E23" s="138">
        <v>0</v>
      </c>
      <c r="F23" s="106"/>
      <c r="G23" s="106"/>
      <c r="H23" s="106"/>
      <c r="I23" s="106"/>
      <c r="J23" s="106"/>
      <c r="K23" s="106"/>
      <c r="L23" s="106"/>
    </row>
    <row r="24" spans="1:12" ht="14.5">
      <c r="A24" s="2"/>
      <c r="B24" s="81" t="s">
        <v>201</v>
      </c>
      <c r="C24" s="106"/>
      <c r="D24" s="138">
        <v>-1632.63</v>
      </c>
      <c r="E24" s="138">
        <v>-1464.7349999999999</v>
      </c>
      <c r="F24" s="106"/>
      <c r="G24" s="106"/>
      <c r="H24" s="106"/>
      <c r="I24" s="106"/>
      <c r="J24" s="106"/>
      <c r="K24" s="106"/>
      <c r="L24" s="106"/>
    </row>
    <row r="25" spans="1:12" ht="14.5">
      <c r="A25" s="2"/>
      <c r="B25" s="81" t="s">
        <v>202</v>
      </c>
      <c r="C25" s="106"/>
      <c r="D25" s="138">
        <v>13.077999999999999</v>
      </c>
      <c r="E25" s="138">
        <v>-24.282</v>
      </c>
      <c r="F25" s="106"/>
      <c r="G25" s="106"/>
      <c r="H25" s="106"/>
      <c r="I25" s="106"/>
      <c r="J25" s="106"/>
      <c r="K25" s="106"/>
      <c r="L25" s="106"/>
    </row>
    <row r="26" spans="1:12" ht="14.5">
      <c r="A26" s="2"/>
      <c r="B26" s="139" t="s">
        <v>206</v>
      </c>
      <c r="C26" s="142"/>
      <c r="D26" s="141">
        <f>SUM(D21:D25)</f>
        <v>28720.400000000001</v>
      </c>
      <c r="E26" s="141">
        <f>SUM(E21:E25)</f>
        <v>30942.616000000002</v>
      </c>
      <c r="F26" s="106"/>
      <c r="G26" s="106"/>
      <c r="H26" s="106"/>
      <c r="I26" s="106"/>
      <c r="J26" s="106"/>
      <c r="K26" s="106"/>
      <c r="L26" s="106"/>
    </row>
    <row r="27" spans="1:12">
      <c r="A27" s="2"/>
      <c r="B27" s="81"/>
      <c r="C27" s="106"/>
      <c r="D27" s="106"/>
      <c r="E27" s="106"/>
      <c r="F27" s="106"/>
      <c r="G27" s="106"/>
      <c r="H27" s="106"/>
      <c r="I27" s="106"/>
      <c r="J27" s="106"/>
      <c r="K27" s="106"/>
      <c r="L27" s="106"/>
    </row>
    <row r="28" spans="1:12" ht="14.5">
      <c r="A28" s="2"/>
      <c r="B28" s="82" t="s">
        <v>207</v>
      </c>
      <c r="C28" s="143"/>
      <c r="D28" s="143">
        <f>D13+D21</f>
        <v>76852.182000000001</v>
      </c>
      <c r="E28" s="143">
        <f>E13+E21</f>
        <v>83595.210000000006</v>
      </c>
      <c r="F28" s="106"/>
      <c r="G28" s="106"/>
      <c r="H28" s="106"/>
      <c r="I28" s="106"/>
      <c r="J28" s="106"/>
      <c r="K28" s="106"/>
      <c r="L28" s="106"/>
    </row>
    <row r="29" spans="1:12" ht="14.5">
      <c r="A29" s="2"/>
      <c r="B29" s="82" t="s">
        <v>208</v>
      </c>
      <c r="C29" s="143"/>
      <c r="D29" s="143">
        <f>D19+D26</f>
        <v>83567.816000000021</v>
      </c>
      <c r="E29" s="143">
        <f>E19+E26</f>
        <v>91137.78300000001</v>
      </c>
      <c r="F29" s="106"/>
      <c r="G29" s="106"/>
      <c r="H29" s="106"/>
      <c r="I29" s="106"/>
      <c r="J29" s="106"/>
      <c r="K29" s="106"/>
      <c r="L29" s="106"/>
    </row>
    <row r="30" spans="1:12">
      <c r="A30" s="2"/>
      <c r="B30" s="81"/>
      <c r="C30" s="106"/>
      <c r="D30" s="106"/>
      <c r="E30" s="106"/>
      <c r="F30" s="106"/>
      <c r="G30" s="106"/>
      <c r="H30" s="106"/>
      <c r="I30" s="106"/>
      <c r="J30" s="106"/>
      <c r="K30" s="106"/>
      <c r="L30" s="106"/>
    </row>
    <row r="31" spans="1:12" ht="14.5">
      <c r="A31" s="2"/>
      <c r="B31" s="81" t="s">
        <v>209</v>
      </c>
      <c r="C31" s="106"/>
      <c r="D31" s="106">
        <f>D19</f>
        <v>54847.416000000012</v>
      </c>
      <c r="E31" s="106">
        <f>E19</f>
        <v>60195.167000000009</v>
      </c>
      <c r="F31" s="106"/>
      <c r="G31" s="106"/>
      <c r="H31" s="106"/>
      <c r="I31" s="106"/>
      <c r="J31" s="106"/>
      <c r="K31" s="106"/>
      <c r="L31" s="106"/>
    </row>
    <row r="32" spans="1:12" ht="14.5">
      <c r="A32" s="2"/>
      <c r="B32" s="81" t="s">
        <v>210</v>
      </c>
      <c r="C32" s="106"/>
      <c r="D32" s="106">
        <f>D26</f>
        <v>28720.400000000001</v>
      </c>
      <c r="E32" s="106">
        <f>E26</f>
        <v>30942.616000000002</v>
      </c>
      <c r="F32" s="106"/>
      <c r="G32" s="106"/>
      <c r="H32" s="106"/>
      <c r="I32" s="106"/>
      <c r="J32" s="106"/>
      <c r="K32" s="106"/>
      <c r="L32" s="106"/>
    </row>
    <row r="33" spans="1:12" ht="14.5">
      <c r="A33" s="2"/>
      <c r="B33" s="144" t="s">
        <v>211</v>
      </c>
      <c r="C33" s="145"/>
      <c r="D33" s="145">
        <f>D31+D32</f>
        <v>83567.816000000021</v>
      </c>
      <c r="E33" s="145">
        <f>E31+E32</f>
        <v>91137.78300000001</v>
      </c>
      <c r="F33" s="145"/>
      <c r="G33" s="145"/>
      <c r="H33" s="145"/>
      <c r="I33" s="145"/>
      <c r="J33" s="145"/>
      <c r="K33" s="106"/>
      <c r="L33" s="106"/>
    </row>
    <row r="34" spans="1:12">
      <c r="A34" s="2"/>
      <c r="B34" s="81"/>
      <c r="C34" s="146"/>
      <c r="D34" s="146"/>
      <c r="E34" s="146"/>
      <c r="F34" s="146"/>
      <c r="G34" s="146"/>
      <c r="H34" s="146"/>
      <c r="I34" s="146"/>
      <c r="J34" s="146"/>
      <c r="K34" s="106"/>
      <c r="L34" s="106"/>
    </row>
    <row r="35" spans="1:12" ht="14.5">
      <c r="A35" s="2"/>
      <c r="B35" s="81" t="s">
        <v>212</v>
      </c>
      <c r="C35" s="106"/>
      <c r="D35" s="106">
        <f>D33</f>
        <v>83567.816000000021</v>
      </c>
      <c r="E35" s="106">
        <f>E33</f>
        <v>91137.78300000001</v>
      </c>
      <c r="F35" s="106"/>
      <c r="G35" s="106"/>
      <c r="H35" s="106"/>
      <c r="I35" s="106"/>
      <c r="J35" s="106"/>
      <c r="K35" s="106"/>
      <c r="L35" s="106"/>
    </row>
    <row r="36" spans="1:12" ht="14.5">
      <c r="A36" s="2"/>
      <c r="B36" s="81" t="s">
        <v>213</v>
      </c>
      <c r="C36" s="107">
        <f>IFERROR(ROUNDDOWN(AVERAGE(-D35/D22,-E35/E22),0),ROUNDDOWN(-E35/E22,0))</f>
        <v>-24</v>
      </c>
      <c r="D36" s="106"/>
      <c r="E36" s="106"/>
      <c r="F36" s="106"/>
      <c r="G36" s="106"/>
      <c r="H36" s="106"/>
      <c r="I36" s="106"/>
      <c r="J36" s="106"/>
      <c r="K36" s="106"/>
    </row>
    <row r="37" spans="1:12" ht="14.5">
      <c r="A37" s="2"/>
      <c r="B37" s="81" t="s">
        <v>214</v>
      </c>
      <c r="C37" s="114">
        <v>0.03</v>
      </c>
      <c r="D37" s="106"/>
      <c r="E37" s="106"/>
      <c r="F37" s="106"/>
      <c r="G37" s="106"/>
      <c r="H37" s="106"/>
      <c r="I37" s="106"/>
      <c r="J37" s="106"/>
      <c r="K37" s="106"/>
    </row>
    <row r="38" spans="1:12" ht="14.5">
      <c r="A38" s="2"/>
      <c r="B38" s="81" t="s">
        <v>215</v>
      </c>
      <c r="C38" s="106"/>
      <c r="D38" s="106"/>
      <c r="E38" s="106"/>
      <c r="F38" s="119">
        <f>-IF(F$2&gt;$E$2+$C$36,0,SLN($E$35,$C$37,$C$36))</f>
        <v>0</v>
      </c>
      <c r="G38" s="119">
        <f>-IF(G$2&gt;$E$2+$C$36,0,SLN($E$35,$C$37,$C$36))</f>
        <v>0</v>
      </c>
      <c r="H38" s="119">
        <f>-IF(H$2&gt;$E$2+$C$36,0,SLN($E$35,$C$37,$C$36))</f>
        <v>0</v>
      </c>
      <c r="I38" s="119">
        <f>-IF(I$2&gt;$E$2+$C$36,0,SLN($E$35,$C$37,$C$36))</f>
        <v>0</v>
      </c>
      <c r="J38" s="119">
        <f>-IF(J$2&gt;$E$2+$C$36,0,SLN($E$35,$C$37,$C$36))</f>
        <v>0</v>
      </c>
      <c r="K38" s="106"/>
      <c r="L38" s="106" t="s">
        <v>216</v>
      </c>
    </row>
    <row r="39" spans="1:12">
      <c r="A39" s="2"/>
      <c r="B39" s="81"/>
      <c r="C39" s="106"/>
      <c r="D39" s="106"/>
      <c r="E39" s="106"/>
      <c r="F39" s="106"/>
      <c r="G39" s="106"/>
      <c r="H39" s="106"/>
      <c r="I39" s="106"/>
      <c r="J39" s="106"/>
      <c r="K39" s="106"/>
    </row>
    <row r="40" spans="1:12" ht="14.5">
      <c r="A40" s="2"/>
      <c r="B40" s="81" t="s">
        <v>217</v>
      </c>
      <c r="C40" s="106"/>
      <c r="D40" s="106"/>
      <c r="E40" s="106"/>
      <c r="F40" s="106"/>
      <c r="G40" s="106"/>
      <c r="H40" s="106"/>
      <c r="I40" s="106"/>
      <c r="J40" s="106"/>
      <c r="K40" s="106"/>
    </row>
    <row r="41" spans="1:12" ht="14.5">
      <c r="A41" s="2"/>
      <c r="B41" s="81" t="s">
        <v>218</v>
      </c>
      <c r="C41" s="106"/>
      <c r="D41" s="106">
        <f>D14</f>
        <v>4801.9440000000004</v>
      </c>
      <c r="E41" s="106">
        <f>E14</f>
        <v>4683.6329999999998</v>
      </c>
      <c r="F41" s="107">
        <f>E41*(1+Assumptions!F10)</f>
        <v>4912.2207082802088</v>
      </c>
      <c r="G41" s="107">
        <f>F41*(1+Assumptions!G10)</f>
        <v>5188.9334528888385</v>
      </c>
      <c r="H41" s="107">
        <f>G41</f>
        <v>5188.9334528888385</v>
      </c>
      <c r="I41" s="107">
        <f t="shared" ref="I41:J41" si="2">H41</f>
        <v>5188.9334528888385</v>
      </c>
      <c r="J41" s="107">
        <f t="shared" si="2"/>
        <v>5188.9334528888385</v>
      </c>
      <c r="K41" s="106"/>
    </row>
    <row r="42" spans="1:12" ht="14.5">
      <c r="A42" s="2"/>
      <c r="B42" s="81" t="s">
        <v>219</v>
      </c>
      <c r="C42" s="106"/>
      <c r="D42" s="106">
        <f>D15</f>
        <v>2110.91</v>
      </c>
      <c r="E42" s="106">
        <f>E15</f>
        <v>3466.6120000000001</v>
      </c>
      <c r="F42" s="125">
        <f>-F69</f>
        <v>0</v>
      </c>
      <c r="G42" s="125">
        <f>-G69</f>
        <v>0</v>
      </c>
      <c r="H42" s="125">
        <f>-H69</f>
        <v>0</v>
      </c>
      <c r="I42" s="125">
        <f>-I69</f>
        <v>5459.22</v>
      </c>
      <c r="J42" s="125">
        <f>-J69</f>
        <v>10</v>
      </c>
      <c r="K42" s="106"/>
    </row>
    <row r="43" spans="1:12" ht="14.5">
      <c r="A43" s="2"/>
      <c r="B43" s="81" t="s">
        <v>220</v>
      </c>
      <c r="C43" s="106"/>
      <c r="D43" s="106"/>
      <c r="E43" s="147">
        <f>E16</f>
        <v>0</v>
      </c>
      <c r="F43" s="107">
        <f>E43*(1+Assumptions!F10)</f>
        <v>0</v>
      </c>
      <c r="G43" s="107">
        <f>F43*(1+Assumptions!G10)</f>
        <v>0</v>
      </c>
      <c r="H43" s="107">
        <f>G43*(1+Assumptions!H10)</f>
        <v>0</v>
      </c>
      <c r="I43" s="107">
        <f>H43*(1+Assumptions!I10)</f>
        <v>0</v>
      </c>
      <c r="J43" s="107">
        <f>I43*(1+Assumptions!J10)</f>
        <v>0</v>
      </c>
      <c r="K43" s="106"/>
    </row>
    <row r="44" spans="1:12" ht="14.5">
      <c r="A44" s="2"/>
      <c r="B44" s="139" t="s">
        <v>221</v>
      </c>
      <c r="C44" s="142"/>
      <c r="D44" s="142"/>
      <c r="E44" s="142"/>
      <c r="F44" s="142">
        <f>SUM(F41:F43)</f>
        <v>4912.2207082802088</v>
      </c>
      <c r="G44" s="142">
        <f>SUM(G41:G43)</f>
        <v>5188.9334528888385</v>
      </c>
      <c r="H44" s="142">
        <f>SUM(H41:H43)</f>
        <v>5188.9334528888385</v>
      </c>
      <c r="I44" s="142">
        <f>SUM(I41:I43)</f>
        <v>10648.153452888839</v>
      </c>
      <c r="J44" s="142">
        <f>SUM(J41:J43)</f>
        <v>5198.9334528888385</v>
      </c>
      <c r="K44" s="106"/>
    </row>
    <row r="45" spans="1:12" ht="14.5">
      <c r="A45" s="2"/>
      <c r="B45" s="81" t="s">
        <v>213</v>
      </c>
      <c r="C45" s="107">
        <f>C36+1</f>
        <v>-23</v>
      </c>
      <c r="D45" s="106"/>
      <c r="E45" s="106"/>
      <c r="F45" s="106"/>
      <c r="G45" s="106"/>
      <c r="H45" s="106"/>
      <c r="I45" s="106"/>
      <c r="J45" s="106"/>
      <c r="K45" s="106"/>
    </row>
    <row r="46" spans="1:12" ht="14.5">
      <c r="A46" s="2"/>
      <c r="B46" s="81" t="s">
        <v>214</v>
      </c>
      <c r="C46" s="114">
        <v>0.03</v>
      </c>
      <c r="D46" s="106"/>
      <c r="E46" s="106"/>
      <c r="F46" s="106"/>
      <c r="G46" s="106"/>
      <c r="H46" s="106"/>
      <c r="I46" s="106"/>
      <c r="J46" s="106"/>
      <c r="K46" s="106"/>
      <c r="L46" s="106"/>
    </row>
    <row r="47" spans="1:12" ht="14.5">
      <c r="A47" s="2"/>
      <c r="B47" s="81" t="s">
        <v>222</v>
      </c>
      <c r="C47" s="106"/>
      <c r="D47" s="106"/>
      <c r="E47" s="106"/>
      <c r="F47" s="146"/>
      <c r="G47" s="106"/>
      <c r="H47" s="106"/>
      <c r="I47" s="106"/>
      <c r="J47" s="106"/>
      <c r="K47" s="106"/>
      <c r="L47" s="106"/>
    </row>
    <row r="48" spans="1:12">
      <c r="A48" s="2"/>
      <c r="C48" s="148">
        <f t="array" ref="C48:C52">TRANSPOSE(F2:J2)</f>
        <v>2024</v>
      </c>
      <c r="D48" s="106">
        <f t="array" ref="D48:D52">TRANSPOSE(F44:J44)</f>
        <v>4912.2207082802088</v>
      </c>
      <c r="E48" s="106"/>
      <c r="F48" s="149">
        <f t="shared" ref="F48:J52" si="3">-IF(AND(F$2&gt;=$C48,F$2&lt;$C48+$C$45),SLN($D48,$C$46,$C$45),0)</f>
        <v>0</v>
      </c>
      <c r="G48" s="123">
        <f t="shared" si="3"/>
        <v>0</v>
      </c>
      <c r="H48" s="123">
        <f t="shared" si="3"/>
        <v>0</v>
      </c>
      <c r="I48" s="123">
        <f t="shared" si="3"/>
        <v>0</v>
      </c>
      <c r="J48" s="153">
        <f t="shared" si="3"/>
        <v>0</v>
      </c>
      <c r="K48" s="106"/>
      <c r="L48" s="106"/>
    </row>
    <row r="49" spans="1:18">
      <c r="A49" s="2"/>
      <c r="C49" s="148">
        <v>2025</v>
      </c>
      <c r="D49" s="106">
        <v>5188.9334528888385</v>
      </c>
      <c r="E49" s="106"/>
      <c r="F49" s="150">
        <f t="shared" si="3"/>
        <v>0</v>
      </c>
      <c r="G49" s="120">
        <f t="shared" si="3"/>
        <v>0</v>
      </c>
      <c r="H49" s="120">
        <f t="shared" si="3"/>
        <v>0</v>
      </c>
      <c r="I49" s="120">
        <f t="shared" si="3"/>
        <v>0</v>
      </c>
      <c r="J49" s="154">
        <f t="shared" si="3"/>
        <v>0</v>
      </c>
      <c r="K49" s="106"/>
      <c r="L49" s="106"/>
    </row>
    <row r="50" spans="1:18">
      <c r="A50" s="2"/>
      <c r="C50" s="148">
        <v>2026</v>
      </c>
      <c r="D50" s="106">
        <v>5188.9334528888385</v>
      </c>
      <c r="E50" s="106"/>
      <c r="F50" s="150">
        <f t="shared" si="3"/>
        <v>0</v>
      </c>
      <c r="G50" s="120">
        <f t="shared" si="3"/>
        <v>0</v>
      </c>
      <c r="H50" s="120">
        <f t="shared" si="3"/>
        <v>0</v>
      </c>
      <c r="I50" s="120">
        <f t="shared" si="3"/>
        <v>0</v>
      </c>
      <c r="J50" s="154">
        <f t="shared" si="3"/>
        <v>0</v>
      </c>
      <c r="K50" s="106"/>
      <c r="L50" s="106"/>
    </row>
    <row r="51" spans="1:18">
      <c r="A51" s="2"/>
      <c r="C51" s="148">
        <v>2027</v>
      </c>
      <c r="D51" s="106">
        <v>10648.153452888839</v>
      </c>
      <c r="E51" s="106"/>
      <c r="F51" s="150">
        <f t="shared" si="3"/>
        <v>0</v>
      </c>
      <c r="G51" s="120">
        <f t="shared" si="3"/>
        <v>0</v>
      </c>
      <c r="H51" s="120">
        <f t="shared" si="3"/>
        <v>0</v>
      </c>
      <c r="I51" s="120">
        <f t="shared" si="3"/>
        <v>0</v>
      </c>
      <c r="J51" s="154">
        <f t="shared" si="3"/>
        <v>0</v>
      </c>
      <c r="K51" s="106"/>
      <c r="L51" s="106"/>
    </row>
    <row r="52" spans="1:18">
      <c r="A52" s="2"/>
      <c r="C52" s="148">
        <v>2028</v>
      </c>
      <c r="D52" s="106">
        <v>5198.9334528888385</v>
      </c>
      <c r="E52" s="106"/>
      <c r="F52" s="151">
        <f t="shared" si="3"/>
        <v>0</v>
      </c>
      <c r="G52" s="152">
        <f t="shared" si="3"/>
        <v>0</v>
      </c>
      <c r="H52" s="152">
        <f t="shared" si="3"/>
        <v>0</v>
      </c>
      <c r="I52" s="152">
        <f t="shared" si="3"/>
        <v>0</v>
      </c>
      <c r="J52" s="155">
        <f t="shared" si="3"/>
        <v>0</v>
      </c>
      <c r="K52" s="106"/>
      <c r="L52" s="106"/>
    </row>
    <row r="53" spans="1:18">
      <c r="A53" s="2"/>
      <c r="B53" s="81"/>
      <c r="C53" s="106"/>
      <c r="D53" s="106"/>
      <c r="E53" s="106"/>
      <c r="F53" s="106"/>
      <c r="G53" s="106"/>
      <c r="H53" s="106"/>
      <c r="I53" s="106"/>
      <c r="J53" s="106"/>
      <c r="K53" s="106"/>
      <c r="L53" s="106"/>
    </row>
    <row r="54" spans="1:18" ht="14.5">
      <c r="A54" s="2"/>
      <c r="B54" s="81" t="s">
        <v>223</v>
      </c>
      <c r="C54" s="106"/>
      <c r="D54" s="106"/>
      <c r="E54" s="106"/>
      <c r="F54" s="120">
        <f>SUM(F48:F52)</f>
        <v>0</v>
      </c>
      <c r="G54" s="120">
        <f>SUM(G48:G52)</f>
        <v>0</v>
      </c>
      <c r="H54" s="120">
        <f>SUM(H48:H52)</f>
        <v>0</v>
      </c>
      <c r="I54" s="120">
        <f>SUM(I48:I52)</f>
        <v>0</v>
      </c>
      <c r="J54" s="120">
        <f>SUM(J48:J52)</f>
        <v>0</v>
      </c>
      <c r="K54" s="106"/>
      <c r="L54" s="106"/>
    </row>
    <row r="55" spans="1:18">
      <c r="A55" s="2"/>
      <c r="B55" s="81"/>
      <c r="C55" s="106"/>
      <c r="D55" s="106"/>
      <c r="E55" s="106"/>
      <c r="F55" s="120"/>
      <c r="G55" s="120"/>
      <c r="H55" s="120"/>
      <c r="I55" s="120"/>
      <c r="J55" s="120"/>
      <c r="K55" s="106"/>
      <c r="L55" s="106"/>
    </row>
    <row r="56" spans="1:18" ht="14.5">
      <c r="A56" s="2"/>
      <c r="B56" s="139" t="s">
        <v>224</v>
      </c>
      <c r="C56" s="141"/>
      <c r="D56" s="141"/>
      <c r="E56" s="141"/>
      <c r="F56" s="141">
        <f>F38+F54</f>
        <v>0</v>
      </c>
      <c r="G56" s="141">
        <f>G38+G54</f>
        <v>0</v>
      </c>
      <c r="H56" s="141">
        <f>H38+H54</f>
        <v>0</v>
      </c>
      <c r="I56" s="141">
        <f>I38+I54</f>
        <v>0</v>
      </c>
      <c r="J56" s="141">
        <f>J38+J54</f>
        <v>0</v>
      </c>
      <c r="K56" s="119"/>
      <c r="L56" s="106"/>
    </row>
    <row r="57" spans="1:18">
      <c r="A57" s="2"/>
      <c r="B57" s="81"/>
      <c r="C57" s="119"/>
      <c r="D57" s="119"/>
      <c r="E57" s="119"/>
      <c r="F57" s="119"/>
      <c r="G57" s="119"/>
      <c r="H57" s="119"/>
      <c r="I57" s="119"/>
      <c r="J57" s="119"/>
      <c r="K57" s="119"/>
      <c r="L57" s="106"/>
    </row>
    <row r="58" spans="1:18" ht="14.5">
      <c r="A58" s="2"/>
      <c r="B58" s="135" t="s">
        <v>225</v>
      </c>
      <c r="C58" s="117"/>
      <c r="D58" s="117"/>
      <c r="E58" s="117"/>
      <c r="F58" s="117"/>
      <c r="G58" s="117"/>
      <c r="H58" s="117"/>
      <c r="I58" s="117"/>
      <c r="J58" s="117"/>
      <c r="K58" s="119"/>
      <c r="L58" s="106"/>
      <c r="R58" s="156"/>
    </row>
    <row r="59" spans="1:18">
      <c r="A59" s="2"/>
      <c r="B59" s="81"/>
      <c r="C59" s="119"/>
      <c r="D59" s="119"/>
      <c r="E59" s="119"/>
      <c r="F59" s="119"/>
      <c r="G59" s="119"/>
      <c r="H59" s="119"/>
      <c r="I59" s="119"/>
      <c r="J59" s="119"/>
      <c r="K59" s="119"/>
      <c r="L59" s="106"/>
      <c r="R59" s="156"/>
    </row>
    <row r="60" spans="1:18" ht="14.5">
      <c r="A60" s="2"/>
      <c r="B60" s="81" t="s">
        <v>226</v>
      </c>
      <c r="C60" s="119"/>
      <c r="D60" s="138">
        <v>2724.1179999999999</v>
      </c>
      <c r="E60" s="138">
        <v>3877.9189999999999</v>
      </c>
      <c r="F60" s="119"/>
      <c r="G60" s="119"/>
      <c r="H60" s="119"/>
      <c r="I60" s="119"/>
      <c r="J60" s="119"/>
      <c r="K60" s="119"/>
      <c r="L60" s="106"/>
      <c r="R60" s="120"/>
    </row>
    <row r="61" spans="1:18" ht="14.5">
      <c r="A61" s="2"/>
      <c r="B61" s="81" t="s">
        <v>227</v>
      </c>
      <c r="C61" s="119"/>
      <c r="D61" s="138">
        <v>3294.35</v>
      </c>
      <c r="E61" s="138">
        <v>4386.848</v>
      </c>
      <c r="F61" s="119"/>
      <c r="G61" s="119"/>
      <c r="H61" s="119"/>
      <c r="I61" s="119"/>
      <c r="J61" s="119"/>
      <c r="K61" s="119"/>
      <c r="L61" s="106"/>
    </row>
    <row r="62" spans="1:18" ht="14.5">
      <c r="A62" s="2"/>
      <c r="B62" s="81" t="s">
        <v>228</v>
      </c>
      <c r="C62" s="119"/>
      <c r="D62" s="138"/>
      <c r="E62" s="138">
        <v>0</v>
      </c>
      <c r="F62" s="119"/>
      <c r="G62" s="119"/>
      <c r="H62" s="119"/>
      <c r="I62" s="119"/>
      <c r="J62" s="119"/>
      <c r="K62" s="119"/>
      <c r="L62" s="106"/>
    </row>
    <row r="63" spans="1:18" ht="14.5">
      <c r="A63" s="2"/>
      <c r="B63" s="81" t="s">
        <v>229</v>
      </c>
      <c r="C63" s="119"/>
      <c r="D63" s="138">
        <v>-2110.91</v>
      </c>
      <c r="E63" s="138">
        <v>-3466.6120000000001</v>
      </c>
      <c r="F63" s="119"/>
      <c r="G63" s="119"/>
      <c r="H63" s="119"/>
      <c r="I63" s="119"/>
      <c r="J63" s="119"/>
      <c r="K63" s="119"/>
      <c r="L63" s="106"/>
    </row>
    <row r="64" spans="1:18" ht="14.5">
      <c r="A64" s="2"/>
      <c r="B64" s="81" t="s">
        <v>230</v>
      </c>
      <c r="C64" s="119"/>
      <c r="D64" s="138">
        <v>-24.623000000000001</v>
      </c>
      <c r="E64" s="138">
        <v>-63.637</v>
      </c>
      <c r="F64" s="119"/>
      <c r="G64" s="119"/>
      <c r="H64" s="119"/>
      <c r="I64" s="119"/>
      <c r="J64" s="119"/>
      <c r="K64" s="119"/>
      <c r="L64" s="106"/>
    </row>
    <row r="65" spans="1:12" ht="14.5">
      <c r="A65" s="2"/>
      <c r="B65" s="139" t="s">
        <v>206</v>
      </c>
      <c r="C65" s="141"/>
      <c r="D65" s="141">
        <f>SUM(D60:D64)</f>
        <v>3882.9349999999999</v>
      </c>
      <c r="E65" s="141">
        <f>SUM(E60:E64)</f>
        <v>4734.518</v>
      </c>
      <c r="F65" s="119"/>
      <c r="G65" s="119"/>
      <c r="H65" s="119"/>
      <c r="I65" s="119"/>
      <c r="J65" s="119"/>
      <c r="K65" s="119"/>
      <c r="L65" s="106"/>
    </row>
    <row r="66" spans="1:12">
      <c r="A66" s="2"/>
      <c r="B66" s="81"/>
      <c r="C66" s="119"/>
      <c r="D66" s="119"/>
      <c r="E66" s="119"/>
      <c r="F66" s="119"/>
      <c r="G66" s="119"/>
      <c r="H66" s="119"/>
      <c r="I66" s="119"/>
      <c r="J66" s="119"/>
      <c r="K66" s="119"/>
      <c r="L66" s="106"/>
    </row>
    <row r="67" spans="1:12" ht="14.5">
      <c r="A67" s="2"/>
      <c r="B67" s="81" t="s">
        <v>231</v>
      </c>
      <c r="C67" s="119"/>
      <c r="D67" s="119"/>
      <c r="E67" s="119"/>
      <c r="F67" s="119">
        <f>BS!E34</f>
        <v>4681.22</v>
      </c>
      <c r="G67" s="119">
        <f>F71</f>
        <v>4981.22</v>
      </c>
      <c r="H67" s="119">
        <f>G71</f>
        <v>5281.22</v>
      </c>
      <c r="I67" s="119">
        <f>H71</f>
        <v>5449.22</v>
      </c>
      <c r="J67" s="119">
        <f>I71</f>
        <v>0</v>
      </c>
      <c r="K67" s="119"/>
      <c r="L67" s="106"/>
    </row>
    <row r="68" spans="1:12" ht="14.5">
      <c r="A68" s="2"/>
      <c r="B68" s="81" t="s">
        <v>232</v>
      </c>
      <c r="C68" s="119"/>
      <c r="D68" s="119"/>
      <c r="E68" s="119">
        <f>E61</f>
        <v>4386.848</v>
      </c>
      <c r="F68" s="107">
        <v>300</v>
      </c>
      <c r="G68" s="107">
        <f>F68</f>
        <v>300</v>
      </c>
      <c r="H68" s="107">
        <v>168</v>
      </c>
      <c r="I68" s="107">
        <v>10</v>
      </c>
      <c r="J68" s="107">
        <f>I68</f>
        <v>10</v>
      </c>
      <c r="K68" s="119"/>
      <c r="L68" s="106"/>
    </row>
    <row r="69" spans="1:12" ht="14.5">
      <c r="A69" s="2"/>
      <c r="B69" s="81" t="s">
        <v>233</v>
      </c>
      <c r="C69" s="119"/>
      <c r="D69" s="119"/>
      <c r="E69" s="119"/>
      <c r="F69" s="119">
        <f>-(F67+F68)*F70</f>
        <v>0</v>
      </c>
      <c r="G69" s="119">
        <f>-(G67+G68)*G70</f>
        <v>0</v>
      </c>
      <c r="H69" s="119">
        <f t="shared" ref="H69:J69" si="4">-(H67+H68)*H70</f>
        <v>0</v>
      </c>
      <c r="I69" s="119">
        <f t="shared" si="4"/>
        <v>-5459.22</v>
      </c>
      <c r="J69" s="119">
        <f t="shared" si="4"/>
        <v>-10</v>
      </c>
      <c r="K69" s="119"/>
    </row>
    <row r="70" spans="1:12" ht="14.5">
      <c r="A70" s="2"/>
      <c r="B70" s="81" t="s">
        <v>234</v>
      </c>
      <c r="C70" s="119"/>
      <c r="D70" s="115"/>
      <c r="E70" s="115"/>
      <c r="F70" s="114">
        <v>0</v>
      </c>
      <c r="G70" s="114">
        <f>F70</f>
        <v>0</v>
      </c>
      <c r="H70" s="114">
        <f t="shared" ref="H70:J70" si="5">G70</f>
        <v>0</v>
      </c>
      <c r="I70" s="114">
        <v>1</v>
      </c>
      <c r="J70" s="114">
        <f t="shared" si="5"/>
        <v>1</v>
      </c>
      <c r="K70" s="119"/>
    </row>
    <row r="71" spans="1:12" ht="14.5">
      <c r="A71" s="2"/>
      <c r="B71" s="82" t="s">
        <v>235</v>
      </c>
      <c r="C71" s="118"/>
      <c r="D71" s="118"/>
      <c r="E71" s="118"/>
      <c r="F71" s="118">
        <f>SUM(F67:F69)</f>
        <v>4981.22</v>
      </c>
      <c r="G71" s="118">
        <f>SUM(G67:G69)</f>
        <v>5281.22</v>
      </c>
      <c r="H71" s="118">
        <f>SUM(H67:H69)</f>
        <v>5449.22</v>
      </c>
      <c r="I71" s="118">
        <f>SUM(I67:I69)</f>
        <v>0</v>
      </c>
      <c r="J71" s="118">
        <f>SUM(J67:J69)</f>
        <v>0</v>
      </c>
      <c r="K71" s="119"/>
      <c r="L71" s="106"/>
    </row>
    <row r="72" spans="1:12">
      <c r="A72" s="2"/>
      <c r="B72" s="81"/>
      <c r="C72" s="119"/>
      <c r="D72" s="119"/>
      <c r="E72" s="119"/>
      <c r="F72" s="119"/>
      <c r="G72" s="119"/>
      <c r="H72" s="119"/>
      <c r="I72" s="119"/>
      <c r="J72" s="119"/>
      <c r="K72" s="119"/>
      <c r="L72" s="106"/>
    </row>
    <row r="73" spans="1:12" ht="14.5">
      <c r="A73" s="2"/>
      <c r="B73" s="135" t="s">
        <v>236</v>
      </c>
      <c r="C73" s="117"/>
      <c r="D73" s="117"/>
      <c r="E73" s="117"/>
      <c r="F73" s="117"/>
      <c r="G73" s="117"/>
      <c r="H73" s="117"/>
      <c r="I73" s="117"/>
      <c r="J73" s="117"/>
      <c r="K73" s="119"/>
      <c r="L73" s="106"/>
    </row>
    <row r="74" spans="1:12">
      <c r="A74" s="2"/>
      <c r="B74" s="81"/>
      <c r="C74" s="119"/>
      <c r="D74" s="119"/>
      <c r="E74" s="119"/>
      <c r="F74" s="119"/>
      <c r="G74" s="119"/>
      <c r="H74" s="119"/>
      <c r="I74" s="119"/>
      <c r="J74" s="119"/>
      <c r="K74" s="119"/>
      <c r="L74" s="106"/>
    </row>
    <row r="75" spans="1:12" ht="14.5">
      <c r="A75" s="2"/>
      <c r="B75" s="81" t="s">
        <v>237</v>
      </c>
      <c r="C75" s="119"/>
      <c r="D75" s="138">
        <v>3205.4279999999999</v>
      </c>
      <c r="E75" s="138">
        <v>3956.4769999999999</v>
      </c>
      <c r="F75" s="119"/>
      <c r="G75" s="119"/>
      <c r="H75" s="119"/>
      <c r="I75" s="119"/>
      <c r="J75" s="119"/>
      <c r="K75" s="119"/>
      <c r="L75" s="106"/>
    </row>
    <row r="76" spans="1:12" ht="14.5">
      <c r="A76" s="2"/>
      <c r="B76" s="81" t="s">
        <v>238</v>
      </c>
      <c r="C76" s="119"/>
      <c r="D76" s="138">
        <v>1102.2090000000001</v>
      </c>
      <c r="E76" s="138">
        <v>2172.5250000000001</v>
      </c>
      <c r="F76" s="119"/>
      <c r="G76" s="119"/>
      <c r="H76" s="119"/>
      <c r="I76" s="119"/>
      <c r="J76" s="119"/>
      <c r="K76" s="119"/>
      <c r="L76" s="106"/>
    </row>
    <row r="77" spans="1:12" ht="14.5">
      <c r="A77" s="2"/>
      <c r="B77" s="81" t="s">
        <v>239</v>
      </c>
      <c r="C77" s="119"/>
      <c r="D77" s="138">
        <v>0</v>
      </c>
      <c r="E77" s="138">
        <v>0</v>
      </c>
      <c r="F77" s="119"/>
      <c r="G77" s="119"/>
      <c r="H77" s="119"/>
      <c r="I77" s="119"/>
      <c r="J77" s="119"/>
      <c r="K77" s="119"/>
      <c r="L77" s="106"/>
    </row>
    <row r="78" spans="1:12" ht="14.5">
      <c r="A78" s="2"/>
      <c r="B78" s="81" t="s">
        <v>240</v>
      </c>
      <c r="C78" s="119"/>
      <c r="D78" s="138">
        <v>171.11699999999999</v>
      </c>
      <c r="E78" s="138">
        <v>112.105</v>
      </c>
      <c r="F78" s="119"/>
      <c r="G78" s="119"/>
      <c r="H78" s="119"/>
      <c r="I78" s="119"/>
      <c r="J78" s="119"/>
      <c r="K78" s="119"/>
      <c r="L78" s="106"/>
    </row>
    <row r="79" spans="1:12" ht="14.5">
      <c r="A79" s="2"/>
      <c r="B79" s="81" t="s">
        <v>241</v>
      </c>
      <c r="C79" s="119"/>
      <c r="D79" s="138">
        <v>0</v>
      </c>
      <c r="E79" s="138">
        <v>0</v>
      </c>
      <c r="F79" s="119"/>
      <c r="G79" s="119"/>
      <c r="H79" s="119"/>
      <c r="I79" s="119"/>
      <c r="J79" s="119"/>
      <c r="K79" s="119"/>
      <c r="L79" s="106"/>
    </row>
    <row r="80" spans="1:12" ht="14.5">
      <c r="A80" s="2"/>
      <c r="B80" s="81" t="s">
        <v>242</v>
      </c>
      <c r="C80" s="119"/>
      <c r="D80" s="138">
        <v>23.350999999999999</v>
      </c>
      <c r="E80" s="138">
        <v>57.835000000000001</v>
      </c>
      <c r="F80" s="119"/>
      <c r="G80" s="119"/>
      <c r="H80" s="119"/>
      <c r="I80" s="119"/>
      <c r="J80" s="119"/>
      <c r="K80" s="119"/>
      <c r="L80" s="106"/>
    </row>
    <row r="81" spans="1:12" ht="14.5">
      <c r="A81" s="2"/>
      <c r="B81" s="144" t="s">
        <v>243</v>
      </c>
      <c r="C81" s="123"/>
      <c r="D81" s="123">
        <f>SUM(D75:D80)</f>
        <v>4502.1049999999996</v>
      </c>
      <c r="E81" s="123">
        <f>SUM(E75:E80)</f>
        <v>6298.942</v>
      </c>
      <c r="F81" s="119"/>
      <c r="G81" s="119"/>
      <c r="H81" s="119"/>
      <c r="I81" s="119"/>
      <c r="J81" s="119"/>
      <c r="K81" s="119"/>
      <c r="L81" s="106"/>
    </row>
    <row r="82" spans="1:12">
      <c r="A82" s="2"/>
      <c r="B82" s="81"/>
      <c r="C82" s="119"/>
      <c r="D82" s="119"/>
      <c r="E82" s="119"/>
      <c r="F82" s="119"/>
      <c r="G82" s="119"/>
      <c r="H82" s="119"/>
      <c r="I82" s="119"/>
      <c r="J82" s="119"/>
      <c r="K82" s="119"/>
      <c r="L82" s="106"/>
    </row>
    <row r="83" spans="1:12" ht="14.5">
      <c r="A83" s="2"/>
      <c r="B83" s="81" t="s">
        <v>244</v>
      </c>
      <c r="C83" s="119"/>
      <c r="D83" s="138">
        <v>908.07399999999996</v>
      </c>
      <c r="E83" s="138">
        <v>1616.5989999999999</v>
      </c>
      <c r="F83" s="119"/>
      <c r="G83" s="119"/>
      <c r="H83" s="119"/>
      <c r="I83" s="119"/>
      <c r="J83" s="119"/>
      <c r="K83" s="119"/>
      <c r="L83" s="106"/>
    </row>
    <row r="84" spans="1:12" ht="14.5">
      <c r="A84" s="2"/>
      <c r="B84" s="81" t="s">
        <v>245</v>
      </c>
      <c r="C84" s="119"/>
      <c r="D84" s="138">
        <v>1173.585</v>
      </c>
      <c r="E84" s="138">
        <v>1340.7739999999999</v>
      </c>
      <c r="F84" s="119"/>
      <c r="G84" s="119"/>
      <c r="H84" s="119"/>
      <c r="I84" s="119"/>
      <c r="J84" s="119"/>
      <c r="K84" s="119"/>
      <c r="L84" s="106"/>
    </row>
    <row r="85" spans="1:12" ht="14.5">
      <c r="A85" s="2"/>
      <c r="B85" s="81" t="s">
        <v>246</v>
      </c>
      <c r="C85" s="119"/>
      <c r="D85" s="138">
        <v>0</v>
      </c>
      <c r="E85" s="138">
        <v>0</v>
      </c>
      <c r="F85" s="119"/>
      <c r="G85" s="119"/>
      <c r="H85" s="119"/>
      <c r="I85" s="119"/>
      <c r="J85" s="119"/>
      <c r="K85" s="119"/>
      <c r="L85" s="106"/>
    </row>
    <row r="86" spans="1:12" ht="14.5">
      <c r="A86" s="2"/>
      <c r="B86" s="81" t="s">
        <v>241</v>
      </c>
      <c r="C86" s="119"/>
      <c r="D86" s="138">
        <v>0</v>
      </c>
      <c r="E86" s="138">
        <v>0</v>
      </c>
      <c r="F86" s="119"/>
      <c r="G86" s="119"/>
      <c r="H86" s="119"/>
      <c r="I86" s="119"/>
      <c r="J86" s="119"/>
      <c r="K86" s="119"/>
      <c r="L86" s="106"/>
    </row>
    <row r="87" spans="1:12" ht="14.5">
      <c r="A87" s="2"/>
      <c r="B87" s="81" t="s">
        <v>247</v>
      </c>
      <c r="C87" s="119"/>
      <c r="D87" s="138">
        <v>0.51700000000000002</v>
      </c>
      <c r="E87" s="138">
        <v>26.701000000000001</v>
      </c>
      <c r="F87" s="119"/>
      <c r="G87" s="119"/>
      <c r="H87" s="119"/>
      <c r="I87" s="119"/>
      <c r="J87" s="119"/>
      <c r="K87" s="119"/>
      <c r="L87" s="106"/>
    </row>
    <row r="88" spans="1:12" ht="14.5">
      <c r="A88" s="2"/>
      <c r="B88" s="144" t="s">
        <v>243</v>
      </c>
      <c r="C88" s="123"/>
      <c r="D88" s="123">
        <f>SUM(D83:D87)</f>
        <v>2082.1759999999999</v>
      </c>
      <c r="E88" s="123">
        <f>SUM(E83:E87)</f>
        <v>2984.0739999999996</v>
      </c>
      <c r="F88" s="119"/>
      <c r="G88" s="119"/>
      <c r="H88" s="119"/>
      <c r="I88" s="119"/>
      <c r="J88" s="119"/>
      <c r="K88" s="119"/>
      <c r="L88" s="106"/>
    </row>
    <row r="89" spans="1:12">
      <c r="A89" s="2"/>
      <c r="B89" s="81"/>
      <c r="C89" s="119"/>
      <c r="D89" s="119"/>
      <c r="E89" s="119"/>
      <c r="F89" s="119"/>
      <c r="G89" s="119"/>
      <c r="H89" s="119"/>
      <c r="I89" s="119"/>
      <c r="J89" s="119"/>
      <c r="K89" s="119"/>
      <c r="L89" s="106"/>
    </row>
    <row r="90" spans="1:12" ht="14.5">
      <c r="A90" s="2"/>
      <c r="B90" s="81" t="s">
        <v>248</v>
      </c>
      <c r="C90" s="106"/>
      <c r="D90" s="106">
        <f>D81+D88</f>
        <v>6584.280999999999</v>
      </c>
      <c r="E90" s="106">
        <f>E81+E88</f>
        <v>9283.0159999999996</v>
      </c>
      <c r="F90" s="106"/>
      <c r="G90" s="106"/>
      <c r="H90" s="106"/>
      <c r="I90" s="106"/>
      <c r="J90" s="106"/>
      <c r="K90" s="119"/>
      <c r="L90" s="106"/>
    </row>
    <row r="91" spans="1:12" ht="14.5">
      <c r="A91" s="2"/>
      <c r="B91" s="81" t="s">
        <v>213</v>
      </c>
      <c r="C91" s="107">
        <f>IFERROR(ROUNDDOWN(AVERAGE(-D90/D84,-E90/E84),0),ROUNDDOWN(-E90/E84,0))</f>
        <v>-6</v>
      </c>
      <c r="D91" s="106"/>
      <c r="E91" s="106"/>
      <c r="F91" s="106"/>
      <c r="G91" s="106"/>
      <c r="H91" s="106"/>
      <c r="I91" s="106"/>
      <c r="J91" s="106"/>
      <c r="K91" s="119"/>
      <c r="L91" s="106"/>
    </row>
    <row r="92" spans="1:12" ht="14.5">
      <c r="A92" s="2"/>
      <c r="B92" s="81" t="s">
        <v>249</v>
      </c>
      <c r="C92" s="106"/>
      <c r="D92" s="106"/>
      <c r="E92" s="106"/>
      <c r="F92" s="119">
        <f>-IF(F$2&gt;$E$2+$C$91,0,SLN($E$90,0,$C$91))</f>
        <v>0</v>
      </c>
      <c r="G92" s="119">
        <f>-IF(G$2&gt;$E$2+$C$91,0,SLN($E$90,0,$C$91))</f>
        <v>0</v>
      </c>
      <c r="H92" s="119">
        <f t="shared" ref="H92:J92" si="6">-IF(H$2&gt;$E$2+$C$91,0,SLN($E$90,0,$C$91))</f>
        <v>0</v>
      </c>
      <c r="I92" s="119">
        <f t="shared" si="6"/>
        <v>0</v>
      </c>
      <c r="J92" s="119">
        <f t="shared" si="6"/>
        <v>0</v>
      </c>
      <c r="K92" s="119"/>
      <c r="L92" s="106"/>
    </row>
    <row r="93" spans="1:12">
      <c r="A93" s="2"/>
      <c r="B93" s="81"/>
      <c r="C93" s="106"/>
      <c r="D93" s="106"/>
      <c r="E93" s="106"/>
      <c r="F93" s="106"/>
      <c r="G93" s="106"/>
      <c r="H93" s="106"/>
      <c r="I93" s="106"/>
      <c r="J93" s="106"/>
      <c r="K93" s="119"/>
      <c r="L93" s="106"/>
    </row>
    <row r="94" spans="1:12" ht="14.5">
      <c r="A94" s="2"/>
      <c r="B94" s="81" t="s">
        <v>250</v>
      </c>
      <c r="C94" s="106"/>
      <c r="D94" s="106"/>
      <c r="E94" s="106"/>
      <c r="F94" s="106"/>
      <c r="G94" s="106"/>
      <c r="H94" s="106"/>
      <c r="I94" s="106"/>
      <c r="J94" s="106"/>
      <c r="K94" s="119"/>
      <c r="L94" s="106"/>
    </row>
    <row r="95" spans="1:12" ht="14.5">
      <c r="A95" s="2"/>
      <c r="B95" s="81" t="s">
        <v>218</v>
      </c>
      <c r="C95" s="106"/>
      <c r="D95" s="106"/>
      <c r="E95" s="106">
        <f>E76</f>
        <v>2172.5250000000001</v>
      </c>
      <c r="F95" s="107">
        <f>E95*(1+Assumptions!F10)</f>
        <v>2278.556474056883</v>
      </c>
      <c r="G95" s="107">
        <f>F95*(1+Assumptions!G10)</f>
        <v>2406.9109705515621</v>
      </c>
      <c r="H95" s="107">
        <f>G95*(1+Assumptions!H10)</f>
        <v>2562.7106763209895</v>
      </c>
      <c r="I95" s="107">
        <f>H95*(1+Assumptions!I10)</f>
        <v>2752.3845626330835</v>
      </c>
      <c r="J95" s="107">
        <f>I95*(1+Assumptions!J10)</f>
        <v>2984.0232072065105</v>
      </c>
      <c r="K95" s="119"/>
      <c r="L95" s="106"/>
    </row>
    <row r="96" spans="1:12" ht="14.5">
      <c r="A96" s="2"/>
      <c r="B96" s="81" t="s">
        <v>220</v>
      </c>
      <c r="C96" s="106"/>
      <c r="D96" s="106"/>
      <c r="E96" s="147">
        <f>E77</f>
        <v>0</v>
      </c>
      <c r="F96" s="107">
        <v>0</v>
      </c>
      <c r="G96" s="107">
        <f>F96</f>
        <v>0</v>
      </c>
      <c r="H96" s="107">
        <f>G96</f>
        <v>0</v>
      </c>
      <c r="I96" s="107">
        <f>H96</f>
        <v>0</v>
      </c>
      <c r="J96" s="107">
        <f>I96</f>
        <v>0</v>
      </c>
      <c r="K96" s="106"/>
      <c r="L96" s="106"/>
    </row>
    <row r="97" spans="1:12" ht="14.5">
      <c r="A97" s="2"/>
      <c r="B97" s="144" t="s">
        <v>251</v>
      </c>
      <c r="C97" s="145"/>
      <c r="D97" s="145"/>
      <c r="E97" s="145"/>
      <c r="F97" s="145">
        <f>SUM(F95:F96)</f>
        <v>2278.556474056883</v>
      </c>
      <c r="G97" s="145">
        <f>SUM(G95:G96)</f>
        <v>2406.9109705515621</v>
      </c>
      <c r="H97" s="145">
        <f>SUM(H95:H96)</f>
        <v>2562.7106763209895</v>
      </c>
      <c r="I97" s="145">
        <f>SUM(I95:I96)</f>
        <v>2752.3845626330835</v>
      </c>
      <c r="J97" s="145">
        <f>SUM(J95:J96)</f>
        <v>2984.0232072065105</v>
      </c>
      <c r="K97" s="119"/>
      <c r="L97" s="106"/>
    </row>
    <row r="98" spans="1:12" ht="14.5">
      <c r="A98" s="2"/>
      <c r="B98" s="81" t="s">
        <v>213</v>
      </c>
      <c r="C98" s="107">
        <f>C91+1</f>
        <v>-5</v>
      </c>
      <c r="D98" s="106"/>
      <c r="E98" s="106"/>
      <c r="F98" s="106"/>
      <c r="G98" s="106"/>
      <c r="H98" s="106"/>
      <c r="I98" s="106"/>
      <c r="J98" s="106"/>
      <c r="K98" s="119"/>
      <c r="L98" s="106" t="s">
        <v>252</v>
      </c>
    </row>
    <row r="99" spans="1:12" ht="14.5">
      <c r="A99" s="2"/>
      <c r="B99" s="81" t="s">
        <v>222</v>
      </c>
      <c r="C99" s="106"/>
      <c r="D99" s="106"/>
      <c r="E99" s="106"/>
      <c r="F99" s="106"/>
      <c r="G99" s="106"/>
      <c r="H99" s="106"/>
      <c r="I99" s="106"/>
      <c r="J99" s="106"/>
      <c r="K99" s="119"/>
      <c r="L99" s="106"/>
    </row>
    <row r="100" spans="1:12">
      <c r="A100" s="2"/>
      <c r="C100" s="148">
        <f t="array" ref="C100:C104">TRANSPOSE(F2:J2)</f>
        <v>2024</v>
      </c>
      <c r="D100" s="106">
        <f t="array" ref="D100:D104">TRANSPOSE(F97:J97)</f>
        <v>2278.556474056883</v>
      </c>
      <c r="E100" s="106"/>
      <c r="F100" s="149">
        <f t="shared" ref="F100:J104" si="7">-IF(AND(F$2&gt;=$C100,F$2&lt;$C100+$C$98),SLN($D100,0,$C$98),0)</f>
        <v>0</v>
      </c>
      <c r="G100" s="123">
        <f>-IF(AND(G$2&gt;=$C100,G$2&lt;$C100+$C$98),SLN($D100,0,$C$98),0)</f>
        <v>0</v>
      </c>
      <c r="H100" s="123">
        <f t="shared" si="7"/>
        <v>0</v>
      </c>
      <c r="I100" s="123">
        <f t="shared" si="7"/>
        <v>0</v>
      </c>
      <c r="J100" s="153">
        <f t="shared" si="7"/>
        <v>0</v>
      </c>
      <c r="K100" s="119"/>
      <c r="L100" s="106"/>
    </row>
    <row r="101" spans="1:12">
      <c r="A101" s="2"/>
      <c r="C101" s="148">
        <v>2025</v>
      </c>
      <c r="D101" s="106">
        <v>2406.9109705515621</v>
      </c>
      <c r="E101" s="106"/>
      <c r="F101" s="150">
        <f t="shared" si="7"/>
        <v>0</v>
      </c>
      <c r="G101" s="120">
        <f t="shared" si="7"/>
        <v>0</v>
      </c>
      <c r="H101" s="120">
        <f t="shared" si="7"/>
        <v>0</v>
      </c>
      <c r="I101" s="120">
        <f t="shared" si="7"/>
        <v>0</v>
      </c>
      <c r="J101" s="154">
        <f t="shared" si="7"/>
        <v>0</v>
      </c>
      <c r="K101" s="119"/>
      <c r="L101" s="106"/>
    </row>
    <row r="102" spans="1:12">
      <c r="A102" s="2"/>
      <c r="C102" s="148">
        <v>2026</v>
      </c>
      <c r="D102" s="106">
        <v>2562.7106763209895</v>
      </c>
      <c r="E102" s="106"/>
      <c r="F102" s="150">
        <f t="shared" si="7"/>
        <v>0</v>
      </c>
      <c r="G102" s="120">
        <f t="shared" si="7"/>
        <v>0</v>
      </c>
      <c r="H102" s="120">
        <f t="shared" si="7"/>
        <v>0</v>
      </c>
      <c r="I102" s="120">
        <f t="shared" si="7"/>
        <v>0</v>
      </c>
      <c r="J102" s="154">
        <f>-IF(AND(J$2&gt;=$C102,J$2&lt;$C102+$C$98),SLN($D102,0,$C$98),0)</f>
        <v>0</v>
      </c>
      <c r="K102" s="119"/>
      <c r="L102" s="106"/>
    </row>
    <row r="103" spans="1:12">
      <c r="A103" s="2"/>
      <c r="C103" s="148">
        <v>2027</v>
      </c>
      <c r="D103" s="106">
        <v>2752.3845626330835</v>
      </c>
      <c r="E103" s="106"/>
      <c r="F103" s="150">
        <f t="shared" si="7"/>
        <v>0</v>
      </c>
      <c r="G103" s="120">
        <f t="shared" si="7"/>
        <v>0</v>
      </c>
      <c r="H103" s="120">
        <f t="shared" si="7"/>
        <v>0</v>
      </c>
      <c r="I103" s="120">
        <f t="shared" si="7"/>
        <v>0</v>
      </c>
      <c r="J103" s="154">
        <f t="shared" si="7"/>
        <v>0</v>
      </c>
      <c r="K103" s="119"/>
      <c r="L103" s="106"/>
    </row>
    <row r="104" spans="1:12">
      <c r="A104" s="2"/>
      <c r="C104" s="148">
        <v>2028</v>
      </c>
      <c r="D104" s="106">
        <v>2984.0232072065105</v>
      </c>
      <c r="E104" s="106"/>
      <c r="F104" s="151">
        <f t="shared" si="7"/>
        <v>0</v>
      </c>
      <c r="G104" s="152">
        <f t="shared" si="7"/>
        <v>0</v>
      </c>
      <c r="H104" s="152">
        <f t="shared" si="7"/>
        <v>0</v>
      </c>
      <c r="I104" s="152">
        <f t="shared" si="7"/>
        <v>0</v>
      </c>
      <c r="J104" s="155">
        <f t="shared" si="7"/>
        <v>0</v>
      </c>
      <c r="K104" s="119"/>
      <c r="L104" s="106"/>
    </row>
    <row r="105" spans="1:12">
      <c r="A105" s="2"/>
      <c r="B105" s="81"/>
      <c r="C105" s="106"/>
      <c r="D105" s="106"/>
      <c r="E105" s="106"/>
      <c r="F105" s="106"/>
      <c r="G105" s="106"/>
      <c r="H105" s="106"/>
      <c r="I105" s="106"/>
      <c r="J105" s="106"/>
      <c r="K105" s="119"/>
      <c r="L105" s="106"/>
    </row>
    <row r="106" spans="1:12" ht="14.5">
      <c r="A106" s="2"/>
      <c r="B106" s="81" t="s">
        <v>253</v>
      </c>
      <c r="C106" s="106"/>
      <c r="D106" s="106"/>
      <c r="E106" s="106"/>
      <c r="F106" s="120">
        <f>SUM(F100:F104)</f>
        <v>0</v>
      </c>
      <c r="G106" s="120">
        <f>SUM(G100:G104)</f>
        <v>0</v>
      </c>
      <c r="H106" s="120">
        <f>SUM(H100:H104)</f>
        <v>0</v>
      </c>
      <c r="I106" s="120">
        <f>SUM(I100:I104)</f>
        <v>0</v>
      </c>
      <c r="J106" s="120">
        <f>SUM(J100:J104)</f>
        <v>0</v>
      </c>
      <c r="K106" s="119"/>
      <c r="L106" s="106"/>
    </row>
    <row r="107" spans="1:12">
      <c r="A107" s="2"/>
      <c r="B107" s="81"/>
      <c r="C107" s="106"/>
      <c r="D107" s="106"/>
      <c r="E107" s="106"/>
      <c r="F107" s="120"/>
      <c r="G107" s="120"/>
      <c r="H107" s="120"/>
      <c r="I107" s="120"/>
      <c r="J107" s="120"/>
      <c r="K107" s="119"/>
      <c r="L107" s="106"/>
    </row>
    <row r="108" spans="1:12" ht="14.5">
      <c r="A108" s="2"/>
      <c r="B108" s="139" t="s">
        <v>254</v>
      </c>
      <c r="C108" s="141"/>
      <c r="D108" s="141"/>
      <c r="E108" s="141"/>
      <c r="F108" s="141">
        <f>F92+F106</f>
        <v>0</v>
      </c>
      <c r="G108" s="141">
        <f>G92+G106</f>
        <v>0</v>
      </c>
      <c r="H108" s="141">
        <f>H92+H106</f>
        <v>0</v>
      </c>
      <c r="I108" s="141">
        <f>I92+I106</f>
        <v>0</v>
      </c>
      <c r="J108" s="141">
        <f>J92+J106</f>
        <v>0</v>
      </c>
      <c r="K108" s="119"/>
      <c r="L108" s="106"/>
    </row>
    <row r="109" spans="1:12">
      <c r="A109" s="2"/>
      <c r="B109" s="81"/>
      <c r="C109" s="119"/>
      <c r="D109" s="119"/>
      <c r="E109" s="119"/>
      <c r="F109" s="119"/>
      <c r="G109" s="119"/>
      <c r="H109" s="119"/>
      <c r="I109" s="119"/>
      <c r="J109" s="119"/>
      <c r="K109" s="119"/>
      <c r="L109" s="106"/>
    </row>
    <row r="110" spans="1:12" ht="14.5">
      <c r="A110" s="2"/>
      <c r="B110" s="135" t="s">
        <v>255</v>
      </c>
      <c r="C110" s="117"/>
      <c r="D110" s="117"/>
      <c r="E110" s="117"/>
      <c r="F110" s="117"/>
      <c r="G110" s="117"/>
      <c r="H110" s="117"/>
      <c r="I110" s="117"/>
      <c r="J110" s="117"/>
      <c r="K110" s="119"/>
      <c r="L110" s="106"/>
    </row>
    <row r="111" spans="1:12">
      <c r="A111" s="2"/>
      <c r="B111" s="81"/>
      <c r="C111" s="119"/>
      <c r="D111" s="119"/>
      <c r="E111" s="119"/>
      <c r="F111" s="119"/>
      <c r="G111" s="119"/>
      <c r="H111" s="119"/>
      <c r="I111" s="119"/>
      <c r="J111" s="119"/>
      <c r="K111" s="119"/>
      <c r="L111" s="106"/>
    </row>
    <row r="112" spans="1:12" ht="14.5">
      <c r="A112" s="2"/>
      <c r="B112" s="81" t="s">
        <v>256</v>
      </c>
      <c r="C112" s="119"/>
      <c r="D112" s="138">
        <v>23000.046999999999</v>
      </c>
      <c r="E112" s="138">
        <v>23781.013999999999</v>
      </c>
      <c r="F112" s="119"/>
      <c r="G112" s="119"/>
      <c r="H112" s="119"/>
      <c r="I112" s="119"/>
      <c r="J112" s="119"/>
      <c r="K112" s="119"/>
      <c r="L112" s="106"/>
    </row>
    <row r="113" spans="1:12" ht="14.5">
      <c r="A113" s="2"/>
      <c r="B113" s="81" t="s">
        <v>257</v>
      </c>
      <c r="C113" s="119"/>
      <c r="D113" s="138">
        <v>791.80200000000002</v>
      </c>
      <c r="E113" s="138">
        <v>314.16899999999998</v>
      </c>
      <c r="F113" s="119"/>
      <c r="G113" s="119"/>
      <c r="H113" s="119"/>
      <c r="I113" s="119"/>
      <c r="J113" s="119"/>
      <c r="K113" s="119"/>
      <c r="L113" s="106"/>
    </row>
    <row r="114" spans="1:12" ht="14.5">
      <c r="A114" s="2"/>
      <c r="B114" s="81" t="s">
        <v>239</v>
      </c>
      <c r="C114" s="119"/>
      <c r="D114" s="138">
        <v>59.820999999999998</v>
      </c>
      <c r="E114" s="138">
        <v>2059.1210000000001</v>
      </c>
      <c r="F114" s="119"/>
      <c r="G114" s="119"/>
      <c r="H114" s="119"/>
      <c r="I114" s="119"/>
      <c r="J114" s="119"/>
      <c r="K114" s="119"/>
      <c r="L114" s="106"/>
    </row>
    <row r="115" spans="1:12" ht="14.5">
      <c r="A115" s="2"/>
      <c r="B115" s="81" t="s">
        <v>258</v>
      </c>
      <c r="C115" s="119"/>
      <c r="D115" s="138">
        <v>0</v>
      </c>
      <c r="E115" s="138">
        <v>0</v>
      </c>
      <c r="F115" s="119"/>
      <c r="G115" s="119"/>
      <c r="H115" s="119"/>
      <c r="I115" s="119"/>
      <c r="J115" s="119"/>
      <c r="K115" s="119"/>
      <c r="L115" s="106"/>
    </row>
    <row r="116" spans="1:12" ht="14.5">
      <c r="A116" s="2"/>
      <c r="B116" s="81" t="s">
        <v>259</v>
      </c>
      <c r="C116" s="119"/>
      <c r="D116" s="138">
        <v>-205.49700000000001</v>
      </c>
      <c r="E116" s="138">
        <v>-706.62599999999998</v>
      </c>
      <c r="F116" s="119"/>
      <c r="G116" s="119"/>
      <c r="H116" s="119"/>
      <c r="I116" s="119"/>
      <c r="J116" s="119"/>
      <c r="K116" s="119"/>
      <c r="L116" s="106"/>
    </row>
    <row r="117" spans="1:12" ht="14.5">
      <c r="A117" s="2"/>
      <c r="B117" s="81" t="s">
        <v>242</v>
      </c>
      <c r="C117" s="119"/>
      <c r="D117" s="138">
        <v>125.60299999999999</v>
      </c>
      <c r="E117" s="138">
        <v>521.38800000000003</v>
      </c>
      <c r="F117" s="119"/>
      <c r="G117" s="119"/>
      <c r="H117" s="119"/>
      <c r="I117" s="119"/>
      <c r="J117" s="119"/>
      <c r="K117" s="119"/>
      <c r="L117" s="106"/>
    </row>
    <row r="118" spans="1:12" ht="14.5">
      <c r="A118" s="2"/>
      <c r="B118" s="144" t="s">
        <v>243</v>
      </c>
      <c r="C118" s="123"/>
      <c r="D118" s="123">
        <f>SUM(D112:D117)</f>
        <v>23771.775999999998</v>
      </c>
      <c r="E118" s="123">
        <f>SUM(E112:E117)</f>
        <v>25969.065999999999</v>
      </c>
      <c r="F118" s="119"/>
      <c r="G118" s="119"/>
      <c r="H118" s="119"/>
      <c r="I118" s="119"/>
      <c r="J118" s="119"/>
      <c r="K118" s="119"/>
      <c r="L118" s="106"/>
    </row>
    <row r="119" spans="1:12">
      <c r="A119" s="2"/>
      <c r="B119" s="81"/>
      <c r="C119" s="119"/>
      <c r="D119" s="119"/>
      <c r="E119" s="119"/>
      <c r="F119" s="119"/>
      <c r="G119" s="119"/>
      <c r="H119" s="119"/>
      <c r="I119" s="119"/>
      <c r="J119" s="119"/>
      <c r="K119" s="119"/>
      <c r="L119" s="106"/>
    </row>
    <row r="120" spans="1:12" ht="14.5">
      <c r="A120" s="2"/>
      <c r="B120" s="81" t="s">
        <v>260</v>
      </c>
      <c r="C120" s="119"/>
      <c r="D120" s="138">
        <v>5650.6109999999999</v>
      </c>
      <c r="E120" s="138">
        <v>6644.31</v>
      </c>
      <c r="F120" s="119"/>
      <c r="G120" s="119"/>
      <c r="H120" s="119"/>
      <c r="I120" s="119"/>
      <c r="J120" s="119"/>
      <c r="K120" s="119"/>
      <c r="L120" s="106"/>
    </row>
    <row r="121" spans="1:12" ht="14.5">
      <c r="A121" s="2"/>
      <c r="B121" s="81" t="s">
        <v>245</v>
      </c>
      <c r="C121" s="119"/>
      <c r="D121" s="138">
        <v>1016.824</v>
      </c>
      <c r="E121" s="138">
        <v>1168.05</v>
      </c>
      <c r="F121" s="119"/>
      <c r="G121" s="119"/>
      <c r="H121" s="119"/>
      <c r="I121" s="119"/>
      <c r="J121" s="119"/>
      <c r="K121" s="119"/>
      <c r="L121" s="106"/>
    </row>
    <row r="122" spans="1:12" ht="14.5">
      <c r="A122" s="2"/>
      <c r="B122" s="81" t="s">
        <v>246</v>
      </c>
      <c r="C122" s="119"/>
      <c r="D122" s="138">
        <v>0</v>
      </c>
      <c r="E122" s="138">
        <v>0</v>
      </c>
      <c r="F122" s="119"/>
      <c r="G122" s="119"/>
      <c r="H122" s="119"/>
      <c r="I122" s="119"/>
      <c r="J122" s="119"/>
      <c r="K122" s="119"/>
      <c r="L122" s="106"/>
    </row>
    <row r="123" spans="1:12" ht="14.5">
      <c r="A123" s="2"/>
      <c r="B123" s="81" t="s">
        <v>259</v>
      </c>
      <c r="C123" s="119"/>
      <c r="D123" s="138">
        <v>-149.92400000000001</v>
      </c>
      <c r="E123" s="138">
        <v>-506.57799999999997</v>
      </c>
      <c r="F123" s="119"/>
      <c r="G123" s="119"/>
      <c r="H123" s="119"/>
      <c r="I123" s="119"/>
      <c r="J123" s="119"/>
      <c r="K123" s="119"/>
      <c r="L123" s="106"/>
    </row>
    <row r="124" spans="1:12" ht="14.5">
      <c r="A124" s="2"/>
      <c r="B124" s="81" t="s">
        <v>247</v>
      </c>
      <c r="C124" s="119"/>
      <c r="D124" s="138">
        <v>126.73</v>
      </c>
      <c r="E124" s="138">
        <v>231.84800000000001</v>
      </c>
      <c r="F124" s="119"/>
      <c r="G124" s="119"/>
      <c r="H124" s="119"/>
      <c r="I124" s="119"/>
      <c r="J124" s="119"/>
      <c r="K124" s="119"/>
      <c r="L124" s="106"/>
    </row>
    <row r="125" spans="1:12" ht="14.5">
      <c r="A125" s="2"/>
      <c r="B125" s="144" t="s">
        <v>243</v>
      </c>
      <c r="C125" s="123"/>
      <c r="D125" s="123">
        <f>SUM(D120:D124)</f>
        <v>6644.2409999999991</v>
      </c>
      <c r="E125" s="123">
        <f>SUM(E120:E124)</f>
        <v>7537.630000000001</v>
      </c>
      <c r="F125" s="119"/>
      <c r="G125" s="119"/>
      <c r="H125" s="119"/>
      <c r="I125" s="119"/>
      <c r="J125" s="119"/>
      <c r="K125" s="119"/>
      <c r="L125" s="106"/>
    </row>
    <row r="126" spans="1:12">
      <c r="A126" s="2"/>
      <c r="B126" s="81"/>
      <c r="C126" s="119"/>
      <c r="D126" s="119"/>
      <c r="E126" s="119"/>
      <c r="F126" s="119"/>
      <c r="G126" s="119"/>
      <c r="H126" s="119"/>
      <c r="I126" s="119"/>
      <c r="J126" s="119"/>
      <c r="K126" s="119"/>
      <c r="L126" s="106"/>
    </row>
    <row r="127" spans="1:12" ht="14.5">
      <c r="A127" s="2"/>
      <c r="B127" s="81" t="s">
        <v>261</v>
      </c>
      <c r="C127" s="106"/>
      <c r="D127" s="106">
        <f>D118+D125</f>
        <v>30416.016999999996</v>
      </c>
      <c r="E127" s="106">
        <f>E118+E125</f>
        <v>33506.695999999996</v>
      </c>
      <c r="F127" s="106"/>
      <c r="G127" s="106"/>
      <c r="H127" s="106"/>
      <c r="I127" s="106"/>
      <c r="J127" s="106"/>
      <c r="K127" s="119"/>
      <c r="L127" s="106"/>
    </row>
    <row r="128" spans="1:12" ht="14.5">
      <c r="A128" s="2"/>
      <c r="B128" s="81" t="s">
        <v>262</v>
      </c>
      <c r="C128" s="107">
        <f>IFERROR(ROUNDDOWN(AVERAGE(-D127/D121,-E127/E121),0),ROUNDDOWN(-E127/E121,0))</f>
        <v>-29</v>
      </c>
      <c r="D128" s="106"/>
      <c r="E128" s="106"/>
      <c r="F128" s="106"/>
      <c r="G128" s="106"/>
      <c r="H128" s="106"/>
      <c r="I128" s="106"/>
      <c r="J128" s="106"/>
      <c r="K128" s="119"/>
      <c r="L128" s="106"/>
    </row>
    <row r="129" spans="1:12" ht="14.5">
      <c r="A129" s="2"/>
      <c r="B129" s="81" t="s">
        <v>263</v>
      </c>
      <c r="C129" s="106"/>
      <c r="D129" s="106"/>
      <c r="E129" s="106"/>
      <c r="F129" s="119">
        <f>-IF(F$2&gt;$E$2+$C$128,0,SLN($E$127,0,$C$128))</f>
        <v>0</v>
      </c>
      <c r="G129" s="119">
        <f>-IF(G$2&gt;$E$2+$C$128,0,SLN($E$127,0,$C$128))</f>
        <v>0</v>
      </c>
      <c r="H129" s="119">
        <f>-IF(H$2&gt;$E$2+$C$128,0,SLN($E$127,0,$C$128))</f>
        <v>0</v>
      </c>
      <c r="I129" s="119">
        <f>-IF(I$2&gt;$E$2+$C$128,0,SLN($E$127,0,$C$128))</f>
        <v>0</v>
      </c>
      <c r="J129" s="119">
        <f>-IF(J$2&gt;$E$2+$C$128,0,SLN($E$127,0,$C$128))</f>
        <v>0</v>
      </c>
      <c r="K129" s="119"/>
      <c r="L129" s="106"/>
    </row>
    <row r="130" spans="1:12">
      <c r="A130" s="2"/>
      <c r="B130" s="81"/>
      <c r="C130" s="106"/>
      <c r="D130" s="106"/>
      <c r="E130" s="106"/>
      <c r="F130" s="106"/>
      <c r="G130" s="106"/>
      <c r="H130" s="106"/>
      <c r="I130" s="106"/>
      <c r="J130" s="106"/>
      <c r="K130" s="119"/>
      <c r="L130" s="106"/>
    </row>
    <row r="131" spans="1:12" ht="14.5">
      <c r="A131" s="2"/>
      <c r="B131" s="81" t="s">
        <v>264</v>
      </c>
      <c r="C131" s="106"/>
      <c r="D131" s="106"/>
      <c r="E131" s="106"/>
      <c r="F131" s="106"/>
      <c r="G131" s="106"/>
      <c r="H131" s="106"/>
      <c r="I131" s="106"/>
      <c r="J131" s="106"/>
      <c r="K131" s="119"/>
      <c r="L131" s="106"/>
    </row>
    <row r="132" spans="1:12" ht="14.5">
      <c r="A132" s="2"/>
      <c r="B132" s="81" t="s">
        <v>218</v>
      </c>
      <c r="C132" s="106"/>
      <c r="D132" s="106"/>
      <c r="E132" s="106">
        <f>E113</f>
        <v>314.16899999999998</v>
      </c>
      <c r="F132" s="107">
        <f>E132*(1+Assumptions!F10)</f>
        <v>329.50221926006691</v>
      </c>
      <c r="G132" s="107">
        <f>F132*(1+Assumptions!G10)</f>
        <v>348.06357243631885</v>
      </c>
      <c r="H132" s="107">
        <f>G132*(1+Assumptions!H10)</f>
        <v>370.59377934389192</v>
      </c>
      <c r="I132" s="107">
        <f>H132*(1+Assumptions!I10)</f>
        <v>398.02253399057457</v>
      </c>
      <c r="J132" s="107">
        <f>I132</f>
        <v>398.02253399057457</v>
      </c>
      <c r="K132" s="119"/>
      <c r="L132" s="106"/>
    </row>
    <row r="133" spans="1:12" ht="14.5">
      <c r="A133" s="2"/>
      <c r="B133" s="81" t="s">
        <v>220</v>
      </c>
      <c r="C133" s="106"/>
      <c r="D133" s="106"/>
      <c r="E133" s="157">
        <f>E114</f>
        <v>2059.1210000000001</v>
      </c>
      <c r="F133" s="107">
        <v>0</v>
      </c>
      <c r="G133" s="107">
        <f>F133</f>
        <v>0</v>
      </c>
      <c r="H133" s="107">
        <f>G133</f>
        <v>0</v>
      </c>
      <c r="I133" s="107">
        <f>H133</f>
        <v>0</v>
      </c>
      <c r="J133" s="107">
        <f>I133</f>
        <v>0</v>
      </c>
      <c r="K133" s="106"/>
      <c r="L133" s="106"/>
    </row>
    <row r="134" spans="1:12" ht="14.5">
      <c r="A134" s="2"/>
      <c r="B134" s="81" t="s">
        <v>265</v>
      </c>
      <c r="C134" s="106"/>
      <c r="D134" s="106"/>
      <c r="E134" s="147">
        <v>0</v>
      </c>
      <c r="F134" s="125">
        <f>-F159</f>
        <v>0</v>
      </c>
      <c r="G134" s="125">
        <f>-G159</f>
        <v>0</v>
      </c>
      <c r="H134" s="125">
        <f>-H159</f>
        <v>0</v>
      </c>
      <c r="I134" s="125">
        <f>-I159</f>
        <v>0</v>
      </c>
      <c r="J134" s="125">
        <f>-J159</f>
        <v>0</v>
      </c>
      <c r="K134" s="119"/>
      <c r="L134" s="106"/>
    </row>
    <row r="135" spans="1:12" ht="14.5">
      <c r="A135" s="2"/>
      <c r="B135" s="144" t="s">
        <v>251</v>
      </c>
      <c r="C135" s="145"/>
      <c r="D135" s="145"/>
      <c r="E135" s="145"/>
      <c r="F135" s="145">
        <f>SUM(F132:F134)</f>
        <v>329.50221926006691</v>
      </c>
      <c r="G135" s="145">
        <f>SUM(G132:G134)</f>
        <v>348.06357243631885</v>
      </c>
      <c r="H135" s="145">
        <f>SUM(H132:H134)</f>
        <v>370.59377934389192</v>
      </c>
      <c r="I135" s="145">
        <f>SUM(I132:I134)</f>
        <v>398.02253399057457</v>
      </c>
      <c r="J135" s="145">
        <f>SUM(J132:J134)</f>
        <v>398.02253399057457</v>
      </c>
      <c r="K135" s="119"/>
      <c r="L135" s="106"/>
    </row>
    <row r="136" spans="1:12" ht="14.5">
      <c r="A136" s="2"/>
      <c r="B136" s="81" t="s">
        <v>262</v>
      </c>
      <c r="C136" s="107">
        <f>C128+1</f>
        <v>-28</v>
      </c>
      <c r="D136" s="106"/>
      <c r="E136" s="106"/>
      <c r="F136" s="106"/>
      <c r="G136" s="106"/>
      <c r="H136" s="106"/>
      <c r="I136" s="106"/>
      <c r="J136" s="106"/>
      <c r="K136" s="119"/>
      <c r="L136" s="106" t="s">
        <v>266</v>
      </c>
    </row>
    <row r="137" spans="1:12" ht="14.5">
      <c r="A137" s="2"/>
      <c r="B137" s="81" t="s">
        <v>267</v>
      </c>
      <c r="C137" s="106"/>
      <c r="D137" s="106"/>
      <c r="E137" s="106"/>
      <c r="F137" s="106"/>
      <c r="G137" s="106"/>
      <c r="H137" s="106"/>
      <c r="I137" s="106"/>
      <c r="J137" s="106"/>
      <c r="K137" s="119"/>
      <c r="L137" s="106"/>
    </row>
    <row r="138" spans="1:12">
      <c r="A138" s="2"/>
      <c r="C138" s="148">
        <f t="array" ref="C138:C142">TRANSPOSE(F2:J2)</f>
        <v>2024</v>
      </c>
      <c r="D138" s="106">
        <f t="array" ref="D138:D142">TRANSPOSE(F135:J135)</f>
        <v>329.50221926006691</v>
      </c>
      <c r="E138" s="106"/>
      <c r="F138" s="149">
        <f t="shared" ref="F138:J142" si="8">-IF(AND(F$2&gt;=$C138,F$2&lt;$C138+$C$136),SLN($D138,0,$C$136),0)</f>
        <v>0</v>
      </c>
      <c r="G138" s="123">
        <f t="shared" si="8"/>
        <v>0</v>
      </c>
      <c r="H138" s="123">
        <f t="shared" si="8"/>
        <v>0</v>
      </c>
      <c r="I138" s="123">
        <f t="shared" si="8"/>
        <v>0</v>
      </c>
      <c r="J138" s="153">
        <f t="shared" si="8"/>
        <v>0</v>
      </c>
      <c r="K138" s="119"/>
      <c r="L138" s="106"/>
    </row>
    <row r="139" spans="1:12">
      <c r="A139" s="2"/>
      <c r="C139" s="148">
        <v>2025</v>
      </c>
      <c r="D139" s="106">
        <v>348.06357243631885</v>
      </c>
      <c r="E139" s="106"/>
      <c r="F139" s="150">
        <f t="shared" si="8"/>
        <v>0</v>
      </c>
      <c r="G139" s="120">
        <f t="shared" si="8"/>
        <v>0</v>
      </c>
      <c r="H139" s="120">
        <f t="shared" si="8"/>
        <v>0</v>
      </c>
      <c r="I139" s="120">
        <f t="shared" si="8"/>
        <v>0</v>
      </c>
      <c r="J139" s="154">
        <f t="shared" si="8"/>
        <v>0</v>
      </c>
      <c r="K139" s="119"/>
      <c r="L139" s="106"/>
    </row>
    <row r="140" spans="1:12">
      <c r="A140" s="2"/>
      <c r="C140" s="148">
        <v>2026</v>
      </c>
      <c r="D140" s="106">
        <v>370.59377934389192</v>
      </c>
      <c r="E140" s="106"/>
      <c r="F140" s="150">
        <f t="shared" si="8"/>
        <v>0</v>
      </c>
      <c r="G140" s="120">
        <f t="shared" si="8"/>
        <v>0</v>
      </c>
      <c r="H140" s="120">
        <f t="shared" si="8"/>
        <v>0</v>
      </c>
      <c r="I140" s="120">
        <f t="shared" si="8"/>
        <v>0</v>
      </c>
      <c r="J140" s="154">
        <f t="shared" si="8"/>
        <v>0</v>
      </c>
      <c r="K140" s="119"/>
      <c r="L140" s="106"/>
    </row>
    <row r="141" spans="1:12">
      <c r="A141" s="2"/>
      <c r="C141" s="148">
        <v>2027</v>
      </c>
      <c r="D141" s="106">
        <v>398.02253399057457</v>
      </c>
      <c r="E141" s="106"/>
      <c r="F141" s="150">
        <f t="shared" si="8"/>
        <v>0</v>
      </c>
      <c r="G141" s="120">
        <f t="shared" si="8"/>
        <v>0</v>
      </c>
      <c r="H141" s="120">
        <f t="shared" si="8"/>
        <v>0</v>
      </c>
      <c r="I141" s="120">
        <f t="shared" si="8"/>
        <v>0</v>
      </c>
      <c r="J141" s="154">
        <f t="shared" si="8"/>
        <v>0</v>
      </c>
      <c r="K141" s="119"/>
      <c r="L141" s="106"/>
    </row>
    <row r="142" spans="1:12">
      <c r="A142" s="2"/>
      <c r="C142" s="148">
        <v>2028</v>
      </c>
      <c r="D142" s="106">
        <v>398.02253399057457</v>
      </c>
      <c r="E142" s="106"/>
      <c r="F142" s="151">
        <f t="shared" si="8"/>
        <v>0</v>
      </c>
      <c r="G142" s="152">
        <f t="shared" si="8"/>
        <v>0</v>
      </c>
      <c r="H142" s="152">
        <f t="shared" si="8"/>
        <v>0</v>
      </c>
      <c r="I142" s="152">
        <f t="shared" si="8"/>
        <v>0</v>
      </c>
      <c r="J142" s="155">
        <f t="shared" si="8"/>
        <v>0</v>
      </c>
      <c r="K142" s="119"/>
      <c r="L142" s="106"/>
    </row>
    <row r="143" spans="1:12">
      <c r="A143" s="2"/>
      <c r="B143" s="81"/>
      <c r="C143" s="106"/>
      <c r="D143" s="106"/>
      <c r="E143" s="106"/>
      <c r="F143" s="106"/>
      <c r="G143" s="106"/>
      <c r="H143" s="106"/>
      <c r="I143" s="106"/>
      <c r="J143" s="106"/>
      <c r="K143" s="119"/>
      <c r="L143" s="106"/>
    </row>
    <row r="144" spans="1:12" ht="14.5">
      <c r="A144" s="2"/>
      <c r="B144" s="81" t="s">
        <v>268</v>
      </c>
      <c r="C144" s="106"/>
      <c r="D144" s="106"/>
      <c r="E144" s="106"/>
      <c r="F144" s="120">
        <f>SUM(F138:F142)</f>
        <v>0</v>
      </c>
      <c r="G144" s="120">
        <f>SUM(G138:G142)</f>
        <v>0</v>
      </c>
      <c r="H144" s="120">
        <f>SUM(H138:H142)</f>
        <v>0</v>
      </c>
      <c r="I144" s="120">
        <f>SUM(I138:I142)</f>
        <v>0</v>
      </c>
      <c r="J144" s="120">
        <f>SUM(J138:J142)</f>
        <v>0</v>
      </c>
      <c r="K144" s="119"/>
      <c r="L144" s="106"/>
    </row>
    <row r="145" spans="1:12">
      <c r="A145" s="2"/>
      <c r="B145" s="81"/>
      <c r="C145" s="106"/>
      <c r="D145" s="106"/>
      <c r="E145" s="106"/>
      <c r="F145" s="120"/>
      <c r="G145" s="120"/>
      <c r="H145" s="120"/>
      <c r="I145" s="120"/>
      <c r="J145" s="120"/>
      <c r="K145" s="119"/>
      <c r="L145" s="106"/>
    </row>
    <row r="146" spans="1:12" ht="14.5">
      <c r="A146" s="2"/>
      <c r="B146" s="139" t="s">
        <v>269</v>
      </c>
      <c r="C146" s="141"/>
      <c r="D146" s="141"/>
      <c r="E146" s="141"/>
      <c r="F146" s="141">
        <f>F129+F144</f>
        <v>0</v>
      </c>
      <c r="G146" s="141">
        <f>G129+G144</f>
        <v>0</v>
      </c>
      <c r="H146" s="141">
        <f>H129+H144</f>
        <v>0</v>
      </c>
      <c r="I146" s="141">
        <f>I129+I144</f>
        <v>0</v>
      </c>
      <c r="J146" s="141">
        <f>J129+J144</f>
        <v>0</v>
      </c>
      <c r="K146" s="119"/>
      <c r="L146" s="106"/>
    </row>
    <row r="147" spans="1:12">
      <c r="A147" s="2"/>
      <c r="B147" s="81"/>
      <c r="C147" s="119"/>
      <c r="D147" s="119"/>
      <c r="E147" s="119"/>
      <c r="F147" s="119"/>
      <c r="G147" s="119"/>
      <c r="H147" s="119"/>
      <c r="I147" s="119"/>
      <c r="J147" s="119"/>
      <c r="K147" s="119"/>
      <c r="L147" s="106"/>
    </row>
    <row r="148" spans="1:12" ht="14.5">
      <c r="A148" s="2"/>
      <c r="B148" s="135" t="s">
        <v>270</v>
      </c>
      <c r="C148" s="117"/>
      <c r="D148" s="117"/>
      <c r="E148" s="117"/>
      <c r="F148" s="117"/>
      <c r="G148" s="117"/>
      <c r="H148" s="117"/>
      <c r="I148" s="117"/>
      <c r="J148" s="117"/>
      <c r="K148" s="119"/>
      <c r="L148" s="106"/>
    </row>
    <row r="149" spans="1:12">
      <c r="A149" s="2"/>
      <c r="B149" s="81"/>
      <c r="C149" s="119"/>
      <c r="D149" s="119"/>
      <c r="E149" s="119"/>
      <c r="F149" s="119"/>
      <c r="G149" s="119"/>
      <c r="H149" s="119"/>
      <c r="I149" s="119"/>
      <c r="J149" s="119"/>
      <c r="K149" s="119"/>
      <c r="L149" s="106"/>
    </row>
    <row r="150" spans="1:12" ht="14.5">
      <c r="A150" s="2"/>
      <c r="B150" s="81" t="s">
        <v>226</v>
      </c>
      <c r="C150" s="119"/>
      <c r="D150" s="138"/>
      <c r="E150" s="138">
        <v>0</v>
      </c>
      <c r="F150" s="119" t="s">
        <v>271</v>
      </c>
      <c r="G150" s="119"/>
      <c r="H150" s="119"/>
      <c r="I150" s="119"/>
      <c r="J150" s="119"/>
      <c r="K150" s="119"/>
      <c r="L150" s="106"/>
    </row>
    <row r="151" spans="1:12" ht="14.5">
      <c r="A151" s="2"/>
      <c r="B151" s="81" t="s">
        <v>272</v>
      </c>
      <c r="C151" s="119"/>
      <c r="D151" s="138"/>
      <c r="E151" s="138">
        <v>0</v>
      </c>
      <c r="F151" s="119"/>
      <c r="G151" s="119"/>
      <c r="H151" s="119"/>
      <c r="I151" s="119"/>
      <c r="J151" s="119"/>
      <c r="K151" s="119"/>
      <c r="L151" s="106"/>
    </row>
    <row r="152" spans="1:12" ht="14.5">
      <c r="A152" s="2"/>
      <c r="B152" s="81" t="s">
        <v>273</v>
      </c>
      <c r="C152" s="119"/>
      <c r="D152" s="138"/>
      <c r="E152" s="138">
        <v>0</v>
      </c>
      <c r="F152" s="119"/>
      <c r="G152" s="119"/>
      <c r="H152" s="119"/>
      <c r="I152" s="119"/>
      <c r="J152" s="119"/>
      <c r="K152" s="119"/>
      <c r="L152" s="106"/>
    </row>
    <row r="153" spans="1:12" ht="14.5">
      <c r="A153" s="2"/>
      <c r="B153" s="81" t="s">
        <v>274</v>
      </c>
      <c r="C153" s="119"/>
      <c r="D153" s="138"/>
      <c r="E153" s="138">
        <v>0</v>
      </c>
      <c r="F153" s="119"/>
      <c r="G153" s="119"/>
      <c r="H153" s="119"/>
      <c r="I153" s="119"/>
      <c r="J153" s="119"/>
      <c r="K153" s="119"/>
      <c r="L153" s="106"/>
    </row>
    <row r="154" spans="1:12" ht="14.5">
      <c r="A154" s="2"/>
      <c r="B154" s="81" t="s">
        <v>275</v>
      </c>
      <c r="C154" s="119"/>
      <c r="D154" s="138"/>
      <c r="E154" s="138">
        <v>0</v>
      </c>
      <c r="F154" s="119"/>
      <c r="G154" s="119"/>
      <c r="H154" s="119"/>
      <c r="I154" s="119"/>
      <c r="J154" s="119"/>
      <c r="K154" s="119"/>
      <c r="L154" s="106"/>
    </row>
    <row r="155" spans="1:12" ht="14.5">
      <c r="A155" s="2"/>
      <c r="B155" s="139" t="s">
        <v>206</v>
      </c>
      <c r="C155" s="141"/>
      <c r="D155" s="141"/>
      <c r="E155" s="141">
        <f>SUM(E150:E154)</f>
        <v>0</v>
      </c>
      <c r="F155" s="119"/>
      <c r="G155" s="119"/>
      <c r="H155" s="119"/>
      <c r="I155" s="119"/>
      <c r="J155" s="119"/>
      <c r="K155" s="119"/>
      <c r="L155" s="106"/>
    </row>
    <row r="156" spans="1:12">
      <c r="A156" s="2"/>
      <c r="B156" s="81"/>
      <c r="C156" s="119"/>
      <c r="D156" s="119"/>
      <c r="E156" s="119"/>
      <c r="F156" s="119"/>
      <c r="G156" s="119"/>
      <c r="H156" s="119"/>
      <c r="I156" s="119"/>
      <c r="J156" s="119"/>
      <c r="K156" s="119"/>
      <c r="L156" s="106"/>
    </row>
    <row r="157" spans="1:12" ht="14.5">
      <c r="A157" s="2"/>
      <c r="B157" s="81" t="s">
        <v>276</v>
      </c>
      <c r="C157" s="119"/>
      <c r="D157" s="119"/>
      <c r="E157" s="119"/>
      <c r="F157" s="119">
        <f>BS!E39</f>
        <v>0</v>
      </c>
      <c r="G157" s="119">
        <f>F161</f>
        <v>0</v>
      </c>
      <c r="H157" s="119">
        <f>G161</f>
        <v>0</v>
      </c>
      <c r="I157" s="119">
        <f>H161</f>
        <v>0</v>
      </c>
      <c r="J157" s="119">
        <f>I161</f>
        <v>0</v>
      </c>
      <c r="K157" s="119"/>
      <c r="L157" s="106"/>
    </row>
    <row r="158" spans="1:12" ht="14.5">
      <c r="A158" s="2"/>
      <c r="B158" s="81" t="s">
        <v>277</v>
      </c>
      <c r="C158" s="119"/>
      <c r="D158" s="119"/>
      <c r="E158" s="119">
        <f>E151+E152</f>
        <v>0</v>
      </c>
      <c r="F158" s="107">
        <f>E158</f>
        <v>0</v>
      </c>
      <c r="G158" s="107">
        <f>F158</f>
        <v>0</v>
      </c>
      <c r="H158" s="107">
        <f>G158</f>
        <v>0</v>
      </c>
      <c r="I158" s="107">
        <f>H158</f>
        <v>0</v>
      </c>
      <c r="J158" s="107">
        <f>I158</f>
        <v>0</v>
      </c>
      <c r="K158" s="106"/>
      <c r="L158" s="106"/>
    </row>
    <row r="159" spans="1:12" ht="14.5">
      <c r="A159" s="2"/>
      <c r="B159" s="81" t="s">
        <v>274</v>
      </c>
      <c r="C159" s="119"/>
      <c r="D159" s="119"/>
      <c r="E159" s="119">
        <f>E153</f>
        <v>0</v>
      </c>
      <c r="F159" s="124">
        <v>0</v>
      </c>
      <c r="G159" s="124">
        <v>0</v>
      </c>
      <c r="H159" s="124">
        <v>0</v>
      </c>
      <c r="I159" s="124">
        <v>0</v>
      </c>
      <c r="J159" s="124">
        <v>0</v>
      </c>
      <c r="K159" s="106"/>
      <c r="L159" s="106"/>
    </row>
    <row r="160" spans="1:12" ht="14.5">
      <c r="A160" s="2"/>
      <c r="B160" s="81" t="s">
        <v>278</v>
      </c>
      <c r="C160" s="119"/>
      <c r="D160" s="115"/>
      <c r="E160" s="115">
        <f>IFERROR(-E153/E150,0)</f>
        <v>0</v>
      </c>
      <c r="F160" s="114">
        <f>AVERAGE(D160:E160)</f>
        <v>0</v>
      </c>
      <c r="G160" s="114">
        <f>F160</f>
        <v>0</v>
      </c>
      <c r="H160" s="114">
        <f t="shared" ref="H160:J160" si="9">G160</f>
        <v>0</v>
      </c>
      <c r="I160" s="114">
        <f t="shared" si="9"/>
        <v>0</v>
      </c>
      <c r="J160" s="114">
        <f t="shared" si="9"/>
        <v>0</v>
      </c>
      <c r="K160" s="119"/>
    </row>
    <row r="161" spans="1:12" ht="14.5">
      <c r="A161" s="2"/>
      <c r="B161" s="81" t="s">
        <v>279</v>
      </c>
      <c r="C161" s="119"/>
      <c r="D161" s="119"/>
      <c r="E161" s="119"/>
      <c r="F161" s="119">
        <f>SUM(F157:F159)</f>
        <v>0</v>
      </c>
      <c r="G161" s="119">
        <f>SUM(G157:G159)</f>
        <v>0</v>
      </c>
      <c r="H161" s="119">
        <f>SUM(H157:H159)</f>
        <v>0</v>
      </c>
      <c r="I161" s="119">
        <f>SUM(I157:I159)</f>
        <v>0</v>
      </c>
      <c r="J161" s="119">
        <f>SUM(J157:J159)</f>
        <v>0</v>
      </c>
      <c r="K161" s="106"/>
      <c r="L161" s="106"/>
    </row>
    <row r="162" spans="1:12">
      <c r="A162" s="2"/>
      <c r="B162" s="81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</row>
    <row r="163" spans="1:12" ht="14.5">
      <c r="A163" s="2"/>
      <c r="B163" s="135" t="s">
        <v>280</v>
      </c>
      <c r="C163" s="136"/>
      <c r="D163" s="136"/>
      <c r="E163" s="136"/>
      <c r="F163" s="137"/>
      <c r="G163" s="137"/>
      <c r="H163" s="137"/>
      <c r="I163" s="137"/>
      <c r="J163" s="137"/>
      <c r="K163" s="125"/>
      <c r="L163" s="125"/>
    </row>
    <row r="164" spans="1:12" ht="14.5">
      <c r="A164" s="2"/>
      <c r="B164" s="81" t="s">
        <v>226</v>
      </c>
      <c r="C164" s="119"/>
      <c r="D164" s="138">
        <v>1394.24</v>
      </c>
      <c r="E164" s="138">
        <v>1579.8989999999999</v>
      </c>
      <c r="F164" s="119"/>
      <c r="G164" s="119"/>
      <c r="H164" s="119"/>
      <c r="I164" s="119"/>
      <c r="J164" s="119"/>
      <c r="K164" s="119"/>
      <c r="L164" s="106"/>
    </row>
    <row r="165" spans="1:12" ht="14.5">
      <c r="A165" s="2"/>
      <c r="B165" s="81" t="s">
        <v>227</v>
      </c>
      <c r="C165" s="119"/>
      <c r="D165" s="138">
        <v>185.65899999999999</v>
      </c>
      <c r="E165" s="138">
        <v>156.30000000000001</v>
      </c>
      <c r="F165" s="119"/>
      <c r="G165" s="119"/>
      <c r="H165" s="119"/>
      <c r="I165" s="119"/>
      <c r="J165" s="119"/>
      <c r="K165" s="119"/>
      <c r="L165" s="106"/>
    </row>
    <row r="166" spans="1:12" ht="14.5">
      <c r="A166" s="2"/>
      <c r="B166" s="81" t="s">
        <v>281</v>
      </c>
      <c r="C166" s="119"/>
      <c r="D166" s="138">
        <f>E164-D165-D164</f>
        <v>0</v>
      </c>
      <c r="E166" s="138">
        <v>0</v>
      </c>
      <c r="F166" s="119"/>
      <c r="G166" s="119"/>
      <c r="H166" s="119"/>
      <c r="I166" s="119"/>
      <c r="J166" s="119"/>
      <c r="K166" s="119"/>
      <c r="L166" s="106"/>
    </row>
    <row r="167" spans="1:12" ht="14.5">
      <c r="A167" s="2"/>
      <c r="B167" s="139" t="s">
        <v>206</v>
      </c>
      <c r="C167" s="141"/>
      <c r="D167" s="141">
        <f>SUM(D164:D166)</f>
        <v>1579.8989999999999</v>
      </c>
      <c r="E167" s="141">
        <f>SUM(E164:E166)</f>
        <v>1736.1989999999998</v>
      </c>
      <c r="F167" s="119"/>
      <c r="G167" s="119"/>
      <c r="H167" s="119"/>
      <c r="I167" s="119"/>
      <c r="J167" s="119"/>
      <c r="K167" s="119"/>
      <c r="L167" s="106"/>
    </row>
    <row r="168" spans="1:12" ht="14.5">
      <c r="A168" s="2"/>
      <c r="B168" s="81" t="s">
        <v>282</v>
      </c>
      <c r="C168" s="106"/>
      <c r="D168" s="106">
        <f>D167</f>
        <v>1579.8989999999999</v>
      </c>
      <c r="E168" s="106">
        <f>E167</f>
        <v>1736.1989999999998</v>
      </c>
      <c r="F168" s="106"/>
      <c r="G168" s="106"/>
      <c r="H168" s="106"/>
      <c r="I168" s="106"/>
      <c r="J168" s="106"/>
      <c r="K168" s="106"/>
      <c r="L168" s="106"/>
    </row>
    <row r="169" spans="1:12" ht="14.5">
      <c r="A169" s="2"/>
      <c r="B169" s="81" t="s">
        <v>262</v>
      </c>
      <c r="C169" s="107">
        <v>9</v>
      </c>
      <c r="D169" s="106"/>
      <c r="E169" s="106"/>
      <c r="F169" s="106"/>
      <c r="G169" s="106"/>
      <c r="H169" s="106"/>
      <c r="I169" s="106"/>
      <c r="J169" s="106"/>
      <c r="K169" s="106"/>
      <c r="L169" s="106"/>
    </row>
    <row r="170" spans="1:12" ht="14.5">
      <c r="A170" s="2"/>
      <c r="B170" s="81" t="s">
        <v>283</v>
      </c>
      <c r="C170" s="106" t="e">
        <f>IFERROR(ROUNDDOWN(AVERAGE(-E168/E166,-D168/D166),0),ROUNDDOWN(-E168/E166,0))</f>
        <v>#DIV/0!</v>
      </c>
      <c r="D170" s="106"/>
      <c r="E170" s="106"/>
      <c r="F170" s="119">
        <f>-IF(F$2&gt;$E$2+$C$169,0,SLN($E$168,0,$C$169))</f>
        <v>-192.91099999999997</v>
      </c>
      <c r="G170" s="119">
        <f>-IF(G$2&gt;$E$2+$C$169,0,SLN($E$168,0,$C$169))</f>
        <v>-192.91099999999997</v>
      </c>
      <c r="H170" s="119">
        <f>-IF(H$2&gt;$E$2+$C$169,0,SLN($E$168,0,$C$169))</f>
        <v>-192.91099999999997</v>
      </c>
      <c r="I170" s="119">
        <f>-IF(I$2&gt;$E$2+$C$169,0,SLN($E$168,0,$C$169))</f>
        <v>-192.91099999999997</v>
      </c>
      <c r="J170" s="119">
        <f>-IF(J$2&gt;$E$2+$C$169,0,SLN($E$168,0,$C$169))</f>
        <v>-192.91099999999997</v>
      </c>
      <c r="K170" s="106"/>
      <c r="L170" s="106"/>
    </row>
    <row r="171" spans="1:12">
      <c r="A171" s="2"/>
      <c r="B171" s="81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</row>
    <row r="172" spans="1:12" ht="14.5">
      <c r="A172" s="2"/>
      <c r="B172" s="81" t="s">
        <v>284</v>
      </c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</row>
    <row r="173" spans="1:12" ht="14.5">
      <c r="A173" s="2"/>
      <c r="B173" s="81" t="s">
        <v>251</v>
      </c>
      <c r="C173" s="106"/>
      <c r="D173" s="106"/>
      <c r="E173" s="106">
        <f>E165</f>
        <v>156.30000000000001</v>
      </c>
      <c r="F173" s="107">
        <f>E173*(1+Assumptions!F10)</f>
        <v>163.92832160508664</v>
      </c>
      <c r="G173" s="107">
        <f>F173*(1+Assumptions!G10)</f>
        <v>173.16264931230211</v>
      </c>
      <c r="H173" s="107">
        <f>G173*(1+Assumptions!H10)</f>
        <v>184.37149340466539</v>
      </c>
      <c r="I173" s="107">
        <f>H173*(1+Assumptions!I10)</f>
        <v>198.01737938092816</v>
      </c>
      <c r="J173" s="107">
        <f>I173*(1+Assumptions!J10)</f>
        <v>214.68237524832975</v>
      </c>
      <c r="K173" s="106"/>
      <c r="L173" s="106" t="s">
        <v>285</v>
      </c>
    </row>
    <row r="174" spans="1:12" ht="14.5">
      <c r="A174" s="2"/>
      <c r="B174" s="139" t="s">
        <v>221</v>
      </c>
      <c r="C174" s="142"/>
      <c r="D174" s="142"/>
      <c r="E174" s="142"/>
      <c r="F174" s="142">
        <f>SUM(F173:F173)</f>
        <v>163.92832160508664</v>
      </c>
      <c r="G174" s="142">
        <f>SUM(G173:G173)</f>
        <v>173.16264931230211</v>
      </c>
      <c r="H174" s="142">
        <f>SUM(H173:H173)</f>
        <v>184.37149340466539</v>
      </c>
      <c r="I174" s="142">
        <f>SUM(I173:I173)</f>
        <v>198.01737938092816</v>
      </c>
      <c r="J174" s="142">
        <f>SUM(J173:J173)</f>
        <v>214.68237524832975</v>
      </c>
      <c r="K174" s="106"/>
      <c r="L174" s="106"/>
    </row>
    <row r="175" spans="1:12" ht="14.5">
      <c r="A175" s="2"/>
      <c r="B175" s="81" t="s">
        <v>262</v>
      </c>
      <c r="C175" s="107">
        <f>C169+1</f>
        <v>10</v>
      </c>
      <c r="D175" s="106"/>
      <c r="E175" s="106"/>
      <c r="F175" s="106"/>
      <c r="G175" s="106"/>
      <c r="H175" s="106"/>
      <c r="I175" s="106"/>
      <c r="J175" s="106"/>
      <c r="K175" s="106"/>
      <c r="L175" s="106" t="s">
        <v>286</v>
      </c>
    </row>
    <row r="176" spans="1:12" ht="14.5">
      <c r="A176" s="2"/>
      <c r="B176" s="81" t="s">
        <v>267</v>
      </c>
      <c r="C176" s="106"/>
      <c r="D176" s="106"/>
      <c r="E176" s="106"/>
      <c r="F176" s="146"/>
      <c r="G176" s="106"/>
      <c r="H176" s="106"/>
      <c r="I176" s="106"/>
      <c r="J176" s="106"/>
      <c r="K176" s="106"/>
      <c r="L176" s="106"/>
    </row>
    <row r="177" spans="1:12">
      <c r="A177" s="2"/>
      <c r="C177" s="148">
        <f t="array" ref="C177:C181">TRANSPOSE(F2:J2)</f>
        <v>2024</v>
      </c>
      <c r="D177" s="106">
        <f t="array" ref="D177:D181">TRANSPOSE(F174:J174)</f>
        <v>163.92832160508664</v>
      </c>
      <c r="E177" s="106"/>
      <c r="F177" s="149">
        <f t="shared" ref="F177:J181" si="10">-IF(AND(F$2&gt;=$C177,F$2&lt;$C177+$C$175),SLN($D177,0,$C$175),0)</f>
        <v>-16.392832160508664</v>
      </c>
      <c r="G177" s="123">
        <f t="shared" si="10"/>
        <v>-16.392832160508664</v>
      </c>
      <c r="H177" s="123">
        <f t="shared" si="10"/>
        <v>-16.392832160508664</v>
      </c>
      <c r="I177" s="123">
        <f t="shared" si="10"/>
        <v>-16.392832160508664</v>
      </c>
      <c r="J177" s="153">
        <f t="shared" si="10"/>
        <v>-16.392832160508664</v>
      </c>
      <c r="K177" s="106"/>
      <c r="L177" s="106"/>
    </row>
    <row r="178" spans="1:12">
      <c r="A178" s="2"/>
      <c r="C178" s="148">
        <v>2025</v>
      </c>
      <c r="D178" s="106">
        <v>173.16264931230211</v>
      </c>
      <c r="E178" s="106"/>
      <c r="F178" s="150">
        <f t="shared" si="10"/>
        <v>0</v>
      </c>
      <c r="G178" s="120">
        <f t="shared" si="10"/>
        <v>-17.316264931230211</v>
      </c>
      <c r="H178" s="120">
        <f t="shared" si="10"/>
        <v>-17.316264931230211</v>
      </c>
      <c r="I178" s="120">
        <f t="shared" si="10"/>
        <v>-17.316264931230211</v>
      </c>
      <c r="J178" s="154">
        <f t="shared" si="10"/>
        <v>-17.316264931230211</v>
      </c>
      <c r="K178" s="106"/>
      <c r="L178" s="106"/>
    </row>
    <row r="179" spans="1:12">
      <c r="A179" s="2"/>
      <c r="C179" s="148">
        <v>2026</v>
      </c>
      <c r="D179" s="106">
        <v>184.37149340466539</v>
      </c>
      <c r="E179" s="106"/>
      <c r="F179" s="150">
        <f t="shared" si="10"/>
        <v>0</v>
      </c>
      <c r="G179" s="120">
        <f t="shared" si="10"/>
        <v>0</v>
      </c>
      <c r="H179" s="120">
        <f t="shared" si="10"/>
        <v>-18.43714934046654</v>
      </c>
      <c r="I179" s="120">
        <f t="shared" si="10"/>
        <v>-18.43714934046654</v>
      </c>
      <c r="J179" s="154">
        <f t="shared" si="10"/>
        <v>-18.43714934046654</v>
      </c>
      <c r="K179" s="106"/>
      <c r="L179" s="106"/>
    </row>
    <row r="180" spans="1:12">
      <c r="A180" s="2"/>
      <c r="C180" s="148">
        <v>2027</v>
      </c>
      <c r="D180" s="106">
        <v>198.01737938092816</v>
      </c>
      <c r="E180" s="106"/>
      <c r="F180" s="150">
        <f t="shared" si="10"/>
        <v>0</v>
      </c>
      <c r="G180" s="120">
        <f t="shared" si="10"/>
        <v>0</v>
      </c>
      <c r="H180" s="120">
        <f t="shared" si="10"/>
        <v>0</v>
      </c>
      <c r="I180" s="120">
        <f t="shared" si="10"/>
        <v>-19.801737938092817</v>
      </c>
      <c r="J180" s="154">
        <f t="shared" si="10"/>
        <v>-19.801737938092817</v>
      </c>
      <c r="K180" s="106"/>
      <c r="L180" s="106"/>
    </row>
    <row r="181" spans="1:12">
      <c r="A181" s="2"/>
      <c r="C181" s="148">
        <v>2028</v>
      </c>
      <c r="D181" s="106">
        <v>214.68237524832975</v>
      </c>
      <c r="E181" s="106"/>
      <c r="F181" s="151">
        <f t="shared" si="10"/>
        <v>0</v>
      </c>
      <c r="G181" s="152">
        <f t="shared" si="10"/>
        <v>0</v>
      </c>
      <c r="H181" s="152">
        <f t="shared" si="10"/>
        <v>0</v>
      </c>
      <c r="I181" s="152">
        <f t="shared" si="10"/>
        <v>0</v>
      </c>
      <c r="J181" s="155">
        <f t="shared" si="10"/>
        <v>-21.468237524832976</v>
      </c>
      <c r="K181" s="106"/>
      <c r="L181" s="106"/>
    </row>
    <row r="182" spans="1:12">
      <c r="A182" s="2"/>
      <c r="B182" s="81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</row>
    <row r="183" spans="1:12" ht="14.5">
      <c r="A183" s="2"/>
      <c r="B183" s="81" t="s">
        <v>287</v>
      </c>
      <c r="C183" s="106"/>
      <c r="D183" s="106"/>
      <c r="E183" s="106"/>
      <c r="F183" s="120">
        <f>SUM(F177:F181)</f>
        <v>-16.392832160508664</v>
      </c>
      <c r="G183" s="120">
        <f>SUM(G177:G181)</f>
        <v>-33.709097091738876</v>
      </c>
      <c r="H183" s="120">
        <f>SUM(H177:H181)</f>
        <v>-52.146246432205416</v>
      </c>
      <c r="I183" s="120">
        <f>SUM(I177:I181)</f>
        <v>-71.947984370298229</v>
      </c>
      <c r="J183" s="120">
        <f>SUM(J177:J181)</f>
        <v>-93.416221895131201</v>
      </c>
      <c r="K183" s="106"/>
      <c r="L183" s="106"/>
    </row>
    <row r="184" spans="1:12">
      <c r="A184" s="2"/>
      <c r="B184" s="81"/>
      <c r="C184" s="106"/>
      <c r="D184" s="106"/>
      <c r="E184" s="106"/>
      <c r="F184" s="120"/>
      <c r="G184" s="120"/>
      <c r="H184" s="120"/>
      <c r="I184" s="120"/>
      <c r="J184" s="120"/>
      <c r="K184" s="106"/>
      <c r="L184" s="106"/>
    </row>
    <row r="185" spans="1:12" ht="14.5">
      <c r="A185" s="2"/>
      <c r="B185" s="139" t="s">
        <v>288</v>
      </c>
      <c r="C185" s="141"/>
      <c r="D185" s="141"/>
      <c r="E185" s="141"/>
      <c r="F185" s="141">
        <f>F170+F183</f>
        <v>-209.30383216050865</v>
      </c>
      <c r="G185" s="141">
        <f>G170+G183</f>
        <v>-226.62009709173884</v>
      </c>
      <c r="H185" s="141">
        <f>H170+H183</f>
        <v>-245.05724643220537</v>
      </c>
      <c r="I185" s="141">
        <f>I170+I183</f>
        <v>-264.85898437029823</v>
      </c>
      <c r="J185" s="141">
        <f>J170+J183</f>
        <v>-286.32722189513117</v>
      </c>
      <c r="K185" s="119"/>
      <c r="L185" s="106"/>
    </row>
    <row r="189" spans="1:12">
      <c r="D189" s="158"/>
      <c r="E189" s="158"/>
    </row>
  </sheetData>
  <sheetProtection formatCells="0" insertHyperlinks="0" autoFilter="0"/>
  <phoneticPr fontId="40" type="noConversion"/>
  <pageMargins left="0.25" right="0.25" top="0.75" bottom="0.75" header="0.3" footer="0.3"/>
  <pageSetup paperSize="9" scale="59" fitToHeight="0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63"/>
  <sheetViews>
    <sheetView showGridLines="0" zoomScale="85" zoomScaleNormal="85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0" defaultRowHeight="12.5" outlineLevelRow="1"/>
  <cols>
    <col min="1" max="1" width="4.3984375" style="1" customWidth="1"/>
    <col min="2" max="2" width="25" style="1" customWidth="1"/>
    <col min="3" max="5" width="11.796875" style="1" customWidth="1"/>
    <col min="6" max="6" width="16" style="1" customWidth="1"/>
    <col min="7" max="8" width="11.796875" style="1" customWidth="1"/>
    <col min="9" max="10" width="14.59765625" style="1" customWidth="1"/>
    <col min="11" max="12" width="9" style="1" customWidth="1"/>
    <col min="13" max="13" width="27.796875" style="1" customWidth="1"/>
    <col min="14" max="14" width="20.796875" style="2" hidden="1" customWidth="1"/>
    <col min="15" max="15" width="21.59765625" style="1" hidden="1" customWidth="1"/>
    <col min="16" max="16384" width="9" style="1" hidden="1"/>
  </cols>
  <sheetData>
    <row r="2" spans="2:14" ht="14.5">
      <c r="B2" s="99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  <c r="L2" s="1" t="s">
        <v>289</v>
      </c>
    </row>
    <row r="3" spans="2:14" ht="13">
      <c r="B3" s="100"/>
      <c r="D3" s="101"/>
      <c r="E3" s="101"/>
      <c r="F3" s="102"/>
      <c r="G3" s="102"/>
      <c r="H3" s="102"/>
      <c r="I3" s="102"/>
      <c r="J3" s="102"/>
    </row>
    <row r="4" spans="2:14" ht="14.5">
      <c r="B4" s="82" t="s">
        <v>290</v>
      </c>
      <c r="C4" s="57">
        <f t="shared" ref="C4:J4" si="0">C10+C16+C22+C28+C34+C40+C46+C52+C58</f>
        <v>312259.83438000001</v>
      </c>
      <c r="D4" s="57">
        <f t="shared" si="0"/>
        <v>320233.60830999998</v>
      </c>
      <c r="E4" s="57">
        <f t="shared" si="0"/>
        <v>348772.96856000001</v>
      </c>
      <c r="F4" s="57">
        <f t="shared" si="0"/>
        <v>365795.05666835897</v>
      </c>
      <c r="G4" s="57">
        <f t="shared" si="0"/>
        <v>386400.83969523897</v>
      </c>
      <c r="H4" s="57">
        <f t="shared" si="0"/>
        <v>411412.62362498802</v>
      </c>
      <c r="I4" s="57">
        <f t="shared" si="0"/>
        <v>441862.50309122202</v>
      </c>
      <c r="J4" s="57">
        <f t="shared" si="0"/>
        <v>479049.32381875801</v>
      </c>
      <c r="L4" s="177" t="s">
        <v>491</v>
      </c>
    </row>
    <row r="5" spans="2:14" ht="14.5">
      <c r="B5" s="1" t="s">
        <v>291</v>
      </c>
      <c r="C5" s="69" t="e">
        <f>C4/#REF!-1</f>
        <v>#REF!</v>
      </c>
      <c r="D5" s="69">
        <f t="shared" ref="D5" si="1">D4/C4-1</f>
        <v>2.5535701528286901E-2</v>
      </c>
      <c r="E5" s="69">
        <f t="shared" ref="E5:J5" si="2">E4/D4-1</f>
        <v>8.9120440545305699E-2</v>
      </c>
      <c r="F5" s="69">
        <f t="shared" si="2"/>
        <v>4.8805640467604702E-2</v>
      </c>
      <c r="G5" s="69">
        <f t="shared" si="2"/>
        <v>5.6331496698060098E-2</v>
      </c>
      <c r="H5" s="69">
        <f t="shared" si="2"/>
        <v>6.47301490066019E-2</v>
      </c>
      <c r="I5" s="69">
        <f t="shared" si="2"/>
        <v>7.4012992595944696E-2</v>
      </c>
      <c r="J5" s="69">
        <f t="shared" si="2"/>
        <v>8.4159258745379897E-2</v>
      </c>
    </row>
    <row r="6" spans="2:14" ht="14.5">
      <c r="B6" s="82" t="s">
        <v>292</v>
      </c>
      <c r="C6" s="57">
        <f>C12+C18+C24+C30+C36+C42+C48+C54+C60</f>
        <v>-237288.37028420001</v>
      </c>
      <c r="D6" s="57">
        <f>D12+D18+D24+D30+D36+D42+D48+D54+D60</f>
        <v>-239558.11873389999</v>
      </c>
      <c r="E6" s="57">
        <f>E12+E18+E24+E30+E36+E42+E48+E54+E60</f>
        <v>-252116.50730639999</v>
      </c>
      <c r="F6" s="57">
        <f>(F12+F18+F24+F30+F36+F42+F48+F54+F60)</f>
        <v>-264275.952326053</v>
      </c>
      <c r="G6" s="57">
        <f>(G12+G18+G24+G30+G36+G42+G48+G54+G60)</f>
        <v>-279502.99892133701</v>
      </c>
      <c r="H6" s="57">
        <f>(H12+H18+H24+H30+H36+H42+H48+H54+H60)</f>
        <v>-297878.41614388401</v>
      </c>
      <c r="I6" s="57">
        <f>(I12+I18+I24+I30+I36+I42+I48+I54+I60)</f>
        <v>-320117.96234787197</v>
      </c>
      <c r="J6" s="57">
        <f>(J12+J18+J24+J30+J36+J42+J48+J54+J60)</f>
        <v>-347117.30390967597</v>
      </c>
    </row>
    <row r="7" spans="2:14" ht="14.5">
      <c r="B7" s="1" t="s">
        <v>293</v>
      </c>
      <c r="C7" s="69">
        <f t="shared" ref="C7:E7" si="3">1-(-C6/C4)</f>
        <v>0.240093203932737</v>
      </c>
      <c r="D7" s="69">
        <f t="shared" si="3"/>
        <v>0.251926991679158</v>
      </c>
      <c r="E7" s="69">
        <f t="shared" si="3"/>
        <v>0.277132891498649</v>
      </c>
      <c r="F7" s="69">
        <f t="shared" ref="F7:J7" si="4">1-(-F6/F4)</f>
        <v>0.27753000619236401</v>
      </c>
      <c r="G7" s="69">
        <f t="shared" si="4"/>
        <v>0.27665012544541601</v>
      </c>
      <c r="H7" s="69">
        <f t="shared" si="4"/>
        <v>0.27596189558002698</v>
      </c>
      <c r="I7" s="69">
        <f t="shared" si="4"/>
        <v>0.27552584772783101</v>
      </c>
      <c r="J7" s="69">
        <f t="shared" si="4"/>
        <v>0.27540383286084402</v>
      </c>
    </row>
    <row r="8" spans="2:14" ht="13">
      <c r="B8" s="100"/>
      <c r="C8" s="130"/>
      <c r="D8" s="101"/>
      <c r="E8" s="101"/>
      <c r="F8" s="102"/>
      <c r="G8" s="102"/>
      <c r="H8" s="102"/>
      <c r="I8" s="102"/>
      <c r="J8" s="102"/>
    </row>
    <row r="9" spans="2:14" ht="14.5">
      <c r="B9" s="131" t="s">
        <v>294</v>
      </c>
    </row>
    <row r="10" spans="2:14" ht="14.5">
      <c r="B10" s="1" t="s">
        <v>295</v>
      </c>
      <c r="C10" s="132">
        <v>234918</v>
      </c>
      <c r="D10" s="132">
        <v>232825</v>
      </c>
      <c r="E10" s="132">
        <v>246351</v>
      </c>
      <c r="F10" s="60">
        <f>E10*(1+F11)</f>
        <v>246351</v>
      </c>
      <c r="G10" s="60">
        <f t="shared" ref="G10:J10" si="5">F10*(1+G11)</f>
        <v>246351</v>
      </c>
      <c r="H10" s="60">
        <f t="shared" si="5"/>
        <v>246351</v>
      </c>
      <c r="I10" s="60">
        <f t="shared" si="5"/>
        <v>246351</v>
      </c>
      <c r="J10" s="60">
        <f t="shared" si="5"/>
        <v>246351</v>
      </c>
    </row>
    <row r="11" spans="2:14" ht="14.5">
      <c r="B11" s="1" t="s">
        <v>291</v>
      </c>
      <c r="C11" s="69" t="e">
        <f>C10/#REF!-1</f>
        <v>#REF!</v>
      </c>
      <c r="D11" s="69">
        <f t="shared" ref="D11" si="6">D10/C10-1</f>
        <v>-8.9094918226785298E-3</v>
      </c>
      <c r="E11" s="69">
        <f>(E10/C10)^0.5-1</f>
        <v>2.4044943286829299E-2</v>
      </c>
      <c r="F11" s="77">
        <v>0</v>
      </c>
      <c r="G11" s="77">
        <f>F11</f>
        <v>0</v>
      </c>
      <c r="H11" s="77">
        <f t="shared" ref="H11:J11" si="7">G11</f>
        <v>0</v>
      </c>
      <c r="I11" s="77">
        <f t="shared" si="7"/>
        <v>0</v>
      </c>
      <c r="J11" s="77">
        <f t="shared" si="7"/>
        <v>0</v>
      </c>
      <c r="L11" s="1" t="s">
        <v>296</v>
      </c>
    </row>
    <row r="12" spans="2:14" ht="14.5">
      <c r="B12" s="1" t="s">
        <v>297</v>
      </c>
      <c r="C12" s="60">
        <f t="shared" ref="C12:F12" si="8">IFERROR(-C10*(1-C13),0)</f>
        <v>-175953.58199999999</v>
      </c>
      <c r="D12" s="60">
        <f t="shared" si="8"/>
        <v>-169962.25</v>
      </c>
      <c r="E12" s="60">
        <f t="shared" si="8"/>
        <v>-172938.402</v>
      </c>
      <c r="F12" s="60">
        <f t="shared" si="8"/>
        <v>-172445.7</v>
      </c>
      <c r="G12" s="60">
        <f t="shared" ref="G12:J12" si="9">IFERROR(-G10*(1-G13),0)</f>
        <v>-172445.7</v>
      </c>
      <c r="H12" s="60">
        <f t="shared" si="9"/>
        <v>-172445.7</v>
      </c>
      <c r="I12" s="60">
        <f t="shared" si="9"/>
        <v>-172445.7</v>
      </c>
      <c r="J12" s="60">
        <f t="shared" si="9"/>
        <v>-172445.7</v>
      </c>
      <c r="N12" s="1"/>
    </row>
    <row r="13" spans="2:14" ht="14.5">
      <c r="B13" s="1" t="s">
        <v>293</v>
      </c>
      <c r="C13" s="69">
        <v>0.251</v>
      </c>
      <c r="D13" s="69">
        <v>0.27</v>
      </c>
      <c r="E13" s="69">
        <v>0.29799999999999999</v>
      </c>
      <c r="F13" s="77">
        <f>E13+0.002</f>
        <v>0.3</v>
      </c>
      <c r="G13" s="77">
        <f>F13</f>
        <v>0.3</v>
      </c>
      <c r="H13" s="77">
        <f>G13</f>
        <v>0.3</v>
      </c>
      <c r="I13" s="77">
        <f>H13</f>
        <v>0.3</v>
      </c>
      <c r="J13" s="77">
        <f>I13</f>
        <v>0.3</v>
      </c>
      <c r="L13" s="177" t="s">
        <v>492</v>
      </c>
    </row>
    <row r="15" spans="2:14" ht="29">
      <c r="B15" s="133" t="s">
        <v>299</v>
      </c>
    </row>
    <row r="16" spans="2:14" ht="14.5">
      <c r="B16" s="1" t="s">
        <v>295</v>
      </c>
      <c r="C16" s="132">
        <v>73379</v>
      </c>
      <c r="D16" s="132">
        <v>83639</v>
      </c>
      <c r="E16" s="132">
        <v>97781</v>
      </c>
      <c r="F16" s="60">
        <f>E16*(1+F17)</f>
        <v>114803.08810835901</v>
      </c>
      <c r="G16" s="60">
        <f t="shared" ref="G16:J16" si="10">F16*(1+G17)</f>
        <v>135362.461449639</v>
      </c>
      <c r="H16" s="60">
        <f t="shared" si="10"/>
        <v>160280.497814476</v>
      </c>
      <c r="I16" s="60">
        <f t="shared" si="10"/>
        <v>190586.94350639501</v>
      </c>
      <c r="J16" s="60">
        <f t="shared" si="10"/>
        <v>227576.78185053699</v>
      </c>
    </row>
    <row r="17" spans="2:12" ht="14.5">
      <c r="B17" s="1" t="s">
        <v>291</v>
      </c>
      <c r="C17" s="69" t="e">
        <f>C16/#REF!-1</f>
        <v>#REF!</v>
      </c>
      <c r="D17" s="69">
        <f t="shared" ref="D17:E17" si="11">D16/C16-1</f>
        <v>0.13982201992395599</v>
      </c>
      <c r="E17" s="69">
        <f t="shared" si="11"/>
        <v>0.16908380061932801</v>
      </c>
      <c r="F17" s="77">
        <f>E17+0.5%</f>
        <v>0.17408380061932799</v>
      </c>
      <c r="G17" s="77">
        <f t="shared" ref="G17:J17" si="12">F17+0.5%</f>
        <v>0.17908380061932799</v>
      </c>
      <c r="H17" s="77">
        <f t="shared" si="12"/>
        <v>0.184083800619328</v>
      </c>
      <c r="I17" s="77">
        <f t="shared" si="12"/>
        <v>0.189083800619328</v>
      </c>
      <c r="J17" s="77">
        <f t="shared" si="12"/>
        <v>0.19408380061932801</v>
      </c>
      <c r="L17" s="1" t="s">
        <v>300</v>
      </c>
    </row>
    <row r="18" spans="2:12" ht="14.5">
      <c r="B18" s="1" t="s">
        <v>297</v>
      </c>
      <c r="C18" s="60">
        <f t="shared" ref="C18:F18" si="13">IFERROR(-C16*(1-C19),0)</f>
        <v>-58996.716</v>
      </c>
      <c r="D18" s="60">
        <f t="shared" si="13"/>
        <v>-66994.839000000007</v>
      </c>
      <c r="E18" s="60">
        <f t="shared" si="13"/>
        <v>-75975.837</v>
      </c>
      <c r="F18" s="60">
        <f t="shared" si="13"/>
        <v>-88627.984019652795</v>
      </c>
      <c r="G18" s="60">
        <f t="shared" ref="G18:J18" si="14">IFERROR(-G16*(1-G19),0)</f>
        <v>-103823.007931873</v>
      </c>
      <c r="H18" s="60">
        <f t="shared" si="14"/>
        <v>-122133.739334631</v>
      </c>
      <c r="I18" s="60">
        <f t="shared" si="14"/>
        <v>-144274.31623434101</v>
      </c>
      <c r="J18" s="60">
        <f t="shared" si="14"/>
        <v>-171137.73995160399</v>
      </c>
    </row>
    <row r="19" spans="2:12" ht="14.5">
      <c r="B19" s="1" t="s">
        <v>293</v>
      </c>
      <c r="C19" s="69">
        <v>0.19600000000000001</v>
      </c>
      <c r="D19" s="69">
        <v>0.19900000000000001</v>
      </c>
      <c r="E19" s="69">
        <v>0.223</v>
      </c>
      <c r="F19" s="77">
        <f>E19+0.5%</f>
        <v>0.22800000000000001</v>
      </c>
      <c r="G19" s="77">
        <f t="shared" ref="G19:J19" si="15">F19+0.5%</f>
        <v>0.23300000000000001</v>
      </c>
      <c r="H19" s="77">
        <f t="shared" si="15"/>
        <v>0.23799999999999999</v>
      </c>
      <c r="I19" s="77">
        <f t="shared" si="15"/>
        <v>0.24299999999999999</v>
      </c>
      <c r="J19" s="77">
        <f t="shared" si="15"/>
        <v>0.248</v>
      </c>
      <c r="L19" s="1" t="s">
        <v>298</v>
      </c>
    </row>
    <row r="21" spans="2:12" ht="14.5">
      <c r="B21" s="133" t="s">
        <v>301</v>
      </c>
    </row>
    <row r="22" spans="2:12" ht="14.5">
      <c r="B22" s="1" t="s">
        <v>295</v>
      </c>
      <c r="C22" s="132">
        <v>3962.8343799999998</v>
      </c>
      <c r="D22" s="132">
        <v>3769.6083100000001</v>
      </c>
      <c r="E22" s="132">
        <v>4640.9685600000003</v>
      </c>
      <c r="F22" s="60">
        <f>E22*(1+F23)</f>
        <v>4640.9685600000003</v>
      </c>
      <c r="G22" s="60">
        <f t="shared" ref="G22:J22" si="16">F22*(1+G23)</f>
        <v>4687.3782455999999</v>
      </c>
      <c r="H22" s="60">
        <f t="shared" si="16"/>
        <v>4781.1258105119996</v>
      </c>
      <c r="I22" s="60">
        <f t="shared" si="16"/>
        <v>4924.5595848273597</v>
      </c>
      <c r="J22" s="60">
        <f t="shared" si="16"/>
        <v>5121.5419682204501</v>
      </c>
    </row>
    <row r="23" spans="2:12" ht="14.5">
      <c r="B23" s="1" t="s">
        <v>291</v>
      </c>
      <c r="C23" s="69" t="e">
        <f>C22/#REF!-1</f>
        <v>#REF!</v>
      </c>
      <c r="D23" s="69">
        <f t="shared" ref="D23:E23" si="17">D22/C22-1</f>
        <v>-4.8759562341336E-2</v>
      </c>
      <c r="E23" s="69">
        <f t="shared" si="17"/>
        <v>0.23115405589712301</v>
      </c>
      <c r="F23" s="77">
        <v>0</v>
      </c>
      <c r="G23" s="77">
        <f>F23+1%</f>
        <v>0.01</v>
      </c>
      <c r="H23" s="77">
        <f t="shared" ref="H23:J23" si="18">G23+1%</f>
        <v>0.02</v>
      </c>
      <c r="I23" s="77">
        <f t="shared" si="18"/>
        <v>0.03</v>
      </c>
      <c r="J23" s="77">
        <f t="shared" si="18"/>
        <v>0.04</v>
      </c>
      <c r="L23" s="1" t="s">
        <v>302</v>
      </c>
    </row>
    <row r="24" spans="2:12" ht="14.5">
      <c r="B24" s="1" t="s">
        <v>297</v>
      </c>
      <c r="C24" s="132">
        <v>-2338.0722842</v>
      </c>
      <c r="D24" s="132">
        <v>-2601.0297338999999</v>
      </c>
      <c r="E24" s="132">
        <v>-3202.2683063999998</v>
      </c>
      <c r="F24" s="60">
        <f>IFERROR(-F22*(1-F25),0)</f>
        <v>-3202.2683063999998</v>
      </c>
      <c r="G24" s="60">
        <f t="shared" ref="G24:J24" si="19">IFERROR(-G22*(1-G25),0)</f>
        <v>-3234.2909894640002</v>
      </c>
      <c r="H24" s="60">
        <f t="shared" si="19"/>
        <v>-3298.97680925328</v>
      </c>
      <c r="I24" s="60">
        <f t="shared" si="19"/>
        <v>-3397.9461135308802</v>
      </c>
      <c r="J24" s="60">
        <f t="shared" si="19"/>
        <v>-3533.8639580721101</v>
      </c>
    </row>
    <row r="25" spans="2:12" ht="14.5">
      <c r="B25" s="1" t="s">
        <v>293</v>
      </c>
      <c r="C25" s="69">
        <f t="shared" ref="C25:E25" si="20">1-(-C24/C22)</f>
        <v>0.41</v>
      </c>
      <c r="D25" s="69">
        <f t="shared" si="20"/>
        <v>0.31</v>
      </c>
      <c r="E25" s="69">
        <f t="shared" si="20"/>
        <v>0.31</v>
      </c>
      <c r="F25" s="77">
        <v>0.31</v>
      </c>
      <c r="G25" s="77">
        <f>F25</f>
        <v>0.31</v>
      </c>
      <c r="H25" s="77">
        <f t="shared" ref="H25:J25" si="21">G25</f>
        <v>0.31</v>
      </c>
      <c r="I25" s="77">
        <f t="shared" si="21"/>
        <v>0.31</v>
      </c>
      <c r="J25" s="77">
        <f t="shared" si="21"/>
        <v>0.31</v>
      </c>
      <c r="L25" s="1" t="s">
        <v>303</v>
      </c>
    </row>
    <row r="27" spans="2:12">
      <c r="B27" s="134"/>
    </row>
    <row r="28" spans="2:12">
      <c r="C28" s="132"/>
      <c r="D28" s="132"/>
      <c r="E28" s="132"/>
      <c r="F28" s="60"/>
      <c r="G28" s="60"/>
      <c r="H28" s="60"/>
      <c r="I28" s="60"/>
      <c r="J28" s="60"/>
    </row>
    <row r="29" spans="2:12">
      <c r="C29" s="69"/>
      <c r="D29" s="69"/>
      <c r="E29" s="69"/>
      <c r="F29" s="77"/>
      <c r="G29" s="77"/>
      <c r="H29" s="77"/>
      <c r="I29" s="77"/>
      <c r="J29" s="77"/>
    </row>
    <row r="30" spans="2:12">
      <c r="C30" s="132"/>
      <c r="D30" s="132"/>
      <c r="E30" s="132"/>
      <c r="F30" s="60"/>
      <c r="G30" s="60"/>
      <c r="H30" s="60"/>
      <c r="I30" s="60"/>
      <c r="J30" s="60"/>
    </row>
    <row r="31" spans="2:12">
      <c r="C31" s="69"/>
      <c r="D31" s="69"/>
      <c r="E31" s="69"/>
      <c r="F31" s="77"/>
      <c r="G31" s="77"/>
      <c r="H31" s="77"/>
      <c r="I31" s="77"/>
      <c r="J31" s="77"/>
    </row>
    <row r="32" spans="2:12" hidden="1" outlineLevel="1"/>
    <row r="33" spans="2:10" ht="14.5" hidden="1" outlineLevel="1">
      <c r="B33" s="127" t="s">
        <v>304</v>
      </c>
    </row>
    <row r="34" spans="2:10" ht="14.5" hidden="1" outlineLevel="1">
      <c r="B34" s="1" t="s">
        <v>295</v>
      </c>
      <c r="C34" s="132">
        <v>0</v>
      </c>
      <c r="D34" s="132">
        <v>0</v>
      </c>
      <c r="E34" s="132">
        <v>0</v>
      </c>
      <c r="F34" s="60">
        <f>E34*(1+F35)</f>
        <v>0</v>
      </c>
      <c r="G34" s="60">
        <f t="shared" ref="G34:J34" si="22">F34*(1+G35)</f>
        <v>0</v>
      </c>
      <c r="H34" s="60">
        <f t="shared" si="22"/>
        <v>0</v>
      </c>
      <c r="I34" s="60">
        <f t="shared" si="22"/>
        <v>0</v>
      </c>
      <c r="J34" s="60">
        <f t="shared" si="22"/>
        <v>0</v>
      </c>
    </row>
    <row r="35" spans="2:10" ht="14.5" hidden="1" outlineLevel="1">
      <c r="B35" s="1" t="s">
        <v>291</v>
      </c>
      <c r="C35" s="69" t="e">
        <f>C34/#REF!-1</f>
        <v>#REF!</v>
      </c>
      <c r="D35" s="69" t="e">
        <f t="shared" ref="D35:E35" si="23">D34/C34-1</f>
        <v>#DIV/0!</v>
      </c>
      <c r="E35" s="69" t="e">
        <f t="shared" si="23"/>
        <v>#DIV/0!</v>
      </c>
      <c r="F35" s="77">
        <v>0.12</v>
      </c>
      <c r="G35" s="77">
        <v>0.1</v>
      </c>
      <c r="H35" s="77">
        <v>0.08</v>
      </c>
      <c r="I35" s="77">
        <f>H35</f>
        <v>0.08</v>
      </c>
      <c r="J35" s="77">
        <f>I35</f>
        <v>0.08</v>
      </c>
    </row>
    <row r="36" spans="2:10" ht="14.5" hidden="1" outlineLevel="1">
      <c r="B36" s="1" t="s">
        <v>297</v>
      </c>
      <c r="C36" s="132">
        <v>0</v>
      </c>
      <c r="D36" s="132">
        <v>0</v>
      </c>
      <c r="E36" s="132">
        <v>0</v>
      </c>
      <c r="F36" s="60">
        <f>IFERROR(-F34*(1-F37),0)</f>
        <v>0</v>
      </c>
      <c r="G36" s="60">
        <f t="shared" ref="G36:J36" si="24">IFERROR(-G34*(1-G37),0)</f>
        <v>0</v>
      </c>
      <c r="H36" s="60">
        <f t="shared" si="24"/>
        <v>0</v>
      </c>
      <c r="I36" s="60">
        <f t="shared" si="24"/>
        <v>0</v>
      </c>
      <c r="J36" s="60">
        <f t="shared" si="24"/>
        <v>0</v>
      </c>
    </row>
    <row r="37" spans="2:10" ht="14.5" hidden="1" outlineLevel="1">
      <c r="B37" s="1" t="s">
        <v>293</v>
      </c>
      <c r="C37" s="69" t="e">
        <f t="shared" ref="C37" si="25">1-(-C36/C34)</f>
        <v>#DIV/0!</v>
      </c>
      <c r="D37" s="69" t="e">
        <f t="shared" ref="D37:E37" si="26">1-(-D36/D34)</f>
        <v>#DIV/0!</v>
      </c>
      <c r="E37" s="69" t="e">
        <f t="shared" si="26"/>
        <v>#DIV/0!</v>
      </c>
      <c r="F37" s="77" t="e">
        <f>E37</f>
        <v>#DIV/0!</v>
      </c>
      <c r="G37" s="77" t="e">
        <f>F37</f>
        <v>#DIV/0!</v>
      </c>
      <c r="H37" s="77" t="e">
        <f t="shared" ref="H37:J37" si="27">G37</f>
        <v>#DIV/0!</v>
      </c>
      <c r="I37" s="77" t="e">
        <f t="shared" si="27"/>
        <v>#DIV/0!</v>
      </c>
      <c r="J37" s="77" t="e">
        <f t="shared" si="27"/>
        <v>#DIV/0!</v>
      </c>
    </row>
    <row r="38" spans="2:10" hidden="1" outlineLevel="1"/>
    <row r="39" spans="2:10" hidden="1" outlineLevel="1">
      <c r="B39" s="1" t="s">
        <v>304</v>
      </c>
    </row>
    <row r="40" spans="2:10" ht="14.5" hidden="1" outlineLevel="1">
      <c r="B40" s="1" t="s">
        <v>295</v>
      </c>
      <c r="C40" s="132">
        <v>0</v>
      </c>
      <c r="D40" s="132">
        <v>0</v>
      </c>
      <c r="E40" s="132">
        <v>0</v>
      </c>
      <c r="F40" s="60">
        <f>E40*(1+F41)</f>
        <v>0</v>
      </c>
      <c r="G40" s="60">
        <f t="shared" ref="G40:J40" si="28">F40*(1+G41)</f>
        <v>0</v>
      </c>
      <c r="H40" s="60">
        <f t="shared" si="28"/>
        <v>0</v>
      </c>
      <c r="I40" s="60">
        <f t="shared" si="28"/>
        <v>0</v>
      </c>
      <c r="J40" s="60">
        <f t="shared" si="28"/>
        <v>0</v>
      </c>
    </row>
    <row r="41" spans="2:10" ht="14.5" hidden="1" outlineLevel="1">
      <c r="B41" s="1" t="s">
        <v>291</v>
      </c>
      <c r="C41" s="69" t="e">
        <f>C40/#REF!-1</f>
        <v>#REF!</v>
      </c>
      <c r="D41" s="69" t="e">
        <f t="shared" ref="D41:E41" si="29">D40/C40-1</f>
        <v>#DIV/0!</v>
      </c>
      <c r="E41" s="69" t="e">
        <f t="shared" si="29"/>
        <v>#DIV/0!</v>
      </c>
      <c r="F41" s="77">
        <v>-0.2</v>
      </c>
      <c r="G41" s="77">
        <v>-0.1</v>
      </c>
      <c r="H41" s="77">
        <f t="shared" ref="H41" si="30">G41+2%</f>
        <v>-0.08</v>
      </c>
      <c r="I41" s="77">
        <f>H41</f>
        <v>-0.08</v>
      </c>
      <c r="J41" s="77">
        <f>I41</f>
        <v>-0.08</v>
      </c>
    </row>
    <row r="42" spans="2:10" ht="14.5" hidden="1" outlineLevel="1">
      <c r="B42" s="1" t="s">
        <v>297</v>
      </c>
      <c r="C42" s="132">
        <v>0</v>
      </c>
      <c r="D42" s="132">
        <v>0</v>
      </c>
      <c r="E42" s="132">
        <v>0</v>
      </c>
      <c r="F42" s="60">
        <f>IFERROR(-F40*(1-F43),0)</f>
        <v>0</v>
      </c>
      <c r="G42" s="60">
        <f t="shared" ref="G42:J42" si="31">IFERROR(-G40*(1-G43),0)</f>
        <v>0</v>
      </c>
      <c r="H42" s="60">
        <f t="shared" si="31"/>
        <v>0</v>
      </c>
      <c r="I42" s="60">
        <f t="shared" si="31"/>
        <v>0</v>
      </c>
      <c r="J42" s="60">
        <f t="shared" si="31"/>
        <v>0</v>
      </c>
    </row>
    <row r="43" spans="2:10" ht="14.5" hidden="1" outlineLevel="1">
      <c r="B43" s="1" t="s">
        <v>293</v>
      </c>
      <c r="C43" s="69" t="e">
        <f t="shared" ref="C43" si="32">1-(-C42/C40)</f>
        <v>#DIV/0!</v>
      </c>
      <c r="D43" s="69" t="e">
        <f t="shared" ref="D43:E43" si="33">1-(-D42/D40)</f>
        <v>#DIV/0!</v>
      </c>
      <c r="E43" s="69" t="e">
        <f t="shared" si="33"/>
        <v>#DIV/0!</v>
      </c>
      <c r="F43" s="77" t="e">
        <f>E43</f>
        <v>#DIV/0!</v>
      </c>
      <c r="G43" s="77" t="e">
        <f>F43</f>
        <v>#DIV/0!</v>
      </c>
      <c r="H43" s="77" t="e">
        <f t="shared" ref="H43:J43" si="34">G43</f>
        <v>#DIV/0!</v>
      </c>
      <c r="I43" s="77" t="e">
        <f t="shared" si="34"/>
        <v>#DIV/0!</v>
      </c>
      <c r="J43" s="77" t="e">
        <f t="shared" si="34"/>
        <v>#DIV/0!</v>
      </c>
    </row>
    <row r="44" spans="2:10" hidden="1" outlineLevel="1"/>
    <row r="45" spans="2:10" ht="14.5" hidden="1" outlineLevel="1">
      <c r="B45" s="1" t="s">
        <v>305</v>
      </c>
    </row>
    <row r="46" spans="2:10" ht="14.5" hidden="1" outlineLevel="1">
      <c r="B46" s="1" t="s">
        <v>295</v>
      </c>
      <c r="C46" s="132">
        <v>0</v>
      </c>
      <c r="D46" s="132">
        <v>0</v>
      </c>
      <c r="E46" s="132">
        <v>0</v>
      </c>
      <c r="F46" s="60">
        <f>E46*(1+F47)</f>
        <v>0</v>
      </c>
      <c r="G46" s="60">
        <f t="shared" ref="G46:J46" si="35">F46*(1+G47)</f>
        <v>0</v>
      </c>
      <c r="H46" s="60">
        <f t="shared" si="35"/>
        <v>0</v>
      </c>
      <c r="I46" s="60">
        <f t="shared" si="35"/>
        <v>0</v>
      </c>
      <c r="J46" s="60">
        <f t="shared" si="35"/>
        <v>0</v>
      </c>
    </row>
    <row r="47" spans="2:10" ht="14.5" hidden="1" outlineLevel="1">
      <c r="B47" s="1" t="s">
        <v>291</v>
      </c>
      <c r="C47" s="69" t="e">
        <f>C46/#REF!-1</f>
        <v>#REF!</v>
      </c>
      <c r="D47" s="69" t="e">
        <f t="shared" ref="D47:E47" si="36">D46/C46-1</f>
        <v>#DIV/0!</v>
      </c>
      <c r="E47" s="69" t="e">
        <f t="shared" si="36"/>
        <v>#DIV/0!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</row>
    <row r="48" spans="2:10" ht="14.5" hidden="1" outlineLevel="1">
      <c r="B48" s="1" t="s">
        <v>297</v>
      </c>
      <c r="C48" s="132">
        <v>0</v>
      </c>
      <c r="D48" s="132">
        <v>0</v>
      </c>
      <c r="E48" s="132">
        <v>0</v>
      </c>
      <c r="F48" s="60">
        <f>IFERROR(-F46*(1-F49),0)</f>
        <v>0</v>
      </c>
      <c r="G48" s="60">
        <f t="shared" ref="G48:J48" si="37">IFERROR(-G46*(1-G49),0)</f>
        <v>0</v>
      </c>
      <c r="H48" s="60">
        <f t="shared" si="37"/>
        <v>0</v>
      </c>
      <c r="I48" s="60">
        <f t="shared" si="37"/>
        <v>0</v>
      </c>
      <c r="J48" s="60">
        <f t="shared" si="37"/>
        <v>0</v>
      </c>
    </row>
    <row r="49" spans="2:10" ht="14.5" hidden="1" outlineLevel="1">
      <c r="B49" s="1" t="s">
        <v>293</v>
      </c>
      <c r="C49" s="69" t="e">
        <f t="shared" ref="C49" si="38">1-(-C48/C46)</f>
        <v>#DIV/0!</v>
      </c>
      <c r="D49" s="69" t="e">
        <f t="shared" ref="D49:E49" si="39">1-(-D48/D46)</f>
        <v>#DIV/0!</v>
      </c>
      <c r="E49" s="69" t="e">
        <f t="shared" si="39"/>
        <v>#DIV/0!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</row>
    <row r="50" spans="2:10" hidden="1" outlineLevel="1"/>
    <row r="51" spans="2:10" hidden="1" outlineLevel="1">
      <c r="B51" s="1" t="s">
        <v>304</v>
      </c>
    </row>
    <row r="52" spans="2:10" ht="14.5" hidden="1" outlineLevel="1">
      <c r="B52" s="1" t="s">
        <v>295</v>
      </c>
      <c r="C52" s="132">
        <v>0</v>
      </c>
      <c r="D52" s="132">
        <v>0</v>
      </c>
      <c r="E52" s="132">
        <v>0</v>
      </c>
      <c r="F52" s="60">
        <f>E52*(1+F53)</f>
        <v>0</v>
      </c>
      <c r="G52" s="60">
        <f t="shared" ref="G52:J52" si="40">F52*(1+G53)</f>
        <v>0</v>
      </c>
      <c r="H52" s="60">
        <f t="shared" si="40"/>
        <v>0</v>
      </c>
      <c r="I52" s="60">
        <f t="shared" si="40"/>
        <v>0</v>
      </c>
      <c r="J52" s="60">
        <f t="shared" si="40"/>
        <v>0</v>
      </c>
    </row>
    <row r="53" spans="2:10" ht="14.5" hidden="1" outlineLevel="1">
      <c r="B53" s="1" t="s">
        <v>291</v>
      </c>
      <c r="C53" s="69" t="e">
        <f>C52/#REF!-1</f>
        <v>#REF!</v>
      </c>
      <c r="D53" s="69" t="e">
        <f t="shared" ref="D53:E53" si="41">D52/C52-1</f>
        <v>#DIV/0!</v>
      </c>
      <c r="E53" s="69" t="e">
        <f t="shared" si="41"/>
        <v>#DIV/0!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</row>
    <row r="54" spans="2:10" ht="14.5" hidden="1" outlineLevel="1">
      <c r="B54" s="1" t="s">
        <v>297</v>
      </c>
      <c r="C54" s="132">
        <v>0</v>
      </c>
      <c r="D54" s="132">
        <v>0</v>
      </c>
      <c r="E54" s="132">
        <v>0</v>
      </c>
      <c r="F54" s="60">
        <f>IFERROR(-F52*(1-F55),0)</f>
        <v>0</v>
      </c>
      <c r="G54" s="60">
        <f t="shared" ref="G54:J54" si="42">IFERROR(-G52*(1-G55),0)</f>
        <v>0</v>
      </c>
      <c r="H54" s="60">
        <f t="shared" si="42"/>
        <v>0</v>
      </c>
      <c r="I54" s="60">
        <f t="shared" si="42"/>
        <v>0</v>
      </c>
      <c r="J54" s="60">
        <f t="shared" si="42"/>
        <v>0</v>
      </c>
    </row>
    <row r="55" spans="2:10" ht="14.5" hidden="1" outlineLevel="1">
      <c r="B55" s="1" t="s">
        <v>293</v>
      </c>
      <c r="C55" s="69" t="e">
        <f t="shared" ref="C55" si="43">1-(-C54/C52)</f>
        <v>#DIV/0!</v>
      </c>
      <c r="D55" s="69" t="e">
        <f t="shared" ref="D55:E55" si="44">1-(-D54/D52)</f>
        <v>#DIV/0!</v>
      </c>
      <c r="E55" s="69" t="e">
        <f t="shared" si="44"/>
        <v>#DIV/0!</v>
      </c>
      <c r="F55" s="77" t="e">
        <f>D55</f>
        <v>#DIV/0!</v>
      </c>
      <c r="G55" s="77" t="e">
        <f>F55</f>
        <v>#DIV/0!</v>
      </c>
      <c r="H55" s="77" t="e">
        <f t="shared" ref="H55:J55" si="45">G55</f>
        <v>#DIV/0!</v>
      </c>
      <c r="I55" s="77" t="e">
        <f t="shared" si="45"/>
        <v>#DIV/0!</v>
      </c>
      <c r="J55" s="77" t="e">
        <f t="shared" si="45"/>
        <v>#DIV/0!</v>
      </c>
    </row>
    <row r="56" spans="2:10" hidden="1" outlineLevel="1"/>
    <row r="57" spans="2:10" hidden="1" outlineLevel="1">
      <c r="B57" s="1" t="s">
        <v>304</v>
      </c>
    </row>
    <row r="58" spans="2:10" ht="14.5" hidden="1" outlineLevel="1">
      <c r="B58" s="1" t="s">
        <v>295</v>
      </c>
      <c r="C58" s="132">
        <v>0</v>
      </c>
      <c r="D58" s="132">
        <v>0</v>
      </c>
      <c r="E58" s="132">
        <v>0</v>
      </c>
      <c r="F58" s="60">
        <f>E58*(1+F59)</f>
        <v>0</v>
      </c>
      <c r="G58" s="60">
        <f t="shared" ref="G58:J58" si="46">F58*(1+G59)</f>
        <v>0</v>
      </c>
      <c r="H58" s="60">
        <f t="shared" si="46"/>
        <v>0</v>
      </c>
      <c r="I58" s="60">
        <f t="shared" si="46"/>
        <v>0</v>
      </c>
      <c r="J58" s="60">
        <f t="shared" si="46"/>
        <v>0</v>
      </c>
    </row>
    <row r="59" spans="2:10" ht="14.5" hidden="1" outlineLevel="1">
      <c r="B59" s="1" t="s">
        <v>291</v>
      </c>
      <c r="C59" s="69" t="e">
        <f>C58/#REF!-1</f>
        <v>#REF!</v>
      </c>
      <c r="D59" s="69" t="e">
        <f t="shared" ref="D59:E59" si="47">D58/C58-1</f>
        <v>#DIV/0!</v>
      </c>
      <c r="E59" s="69" t="e">
        <f t="shared" si="47"/>
        <v>#DIV/0!</v>
      </c>
      <c r="F59" s="77">
        <v>0.1</v>
      </c>
      <c r="G59" s="77">
        <v>0.1</v>
      </c>
      <c r="H59" s="77">
        <v>0.1</v>
      </c>
      <c r="I59" s="77">
        <f>H59</f>
        <v>0.1</v>
      </c>
      <c r="J59" s="77">
        <f>I59</f>
        <v>0.1</v>
      </c>
    </row>
    <row r="60" spans="2:10" ht="14.5" hidden="1" outlineLevel="1">
      <c r="B60" s="1" t="s">
        <v>297</v>
      </c>
      <c r="C60" s="132">
        <v>0</v>
      </c>
      <c r="D60" s="132">
        <v>0</v>
      </c>
      <c r="E60" s="132">
        <v>0</v>
      </c>
      <c r="F60" s="60">
        <f>IFERROR(-F58*(1-F61),0)</f>
        <v>0</v>
      </c>
      <c r="G60" s="60">
        <f t="shared" ref="G60:J60" si="48">IFERROR(-G58*(1-G61),0)</f>
        <v>0</v>
      </c>
      <c r="H60" s="60">
        <f t="shared" si="48"/>
        <v>0</v>
      </c>
      <c r="I60" s="60">
        <f t="shared" si="48"/>
        <v>0</v>
      </c>
      <c r="J60" s="60">
        <f t="shared" si="48"/>
        <v>0</v>
      </c>
    </row>
    <row r="61" spans="2:10" ht="14.5" hidden="1" outlineLevel="1">
      <c r="B61" s="1" t="s">
        <v>293</v>
      </c>
      <c r="C61" s="69" t="e">
        <f t="shared" ref="C61" si="49">1-(-C60/C58)</f>
        <v>#DIV/0!</v>
      </c>
      <c r="D61" s="69" t="e">
        <f t="shared" ref="D61:E61" si="50">1-(-D60/D58)</f>
        <v>#DIV/0!</v>
      </c>
      <c r="E61" s="69" t="e">
        <f t="shared" si="50"/>
        <v>#DIV/0!</v>
      </c>
      <c r="F61" s="77" t="e">
        <f>D61</f>
        <v>#DIV/0!</v>
      </c>
      <c r="G61" s="77" t="e">
        <f>F61</f>
        <v>#DIV/0!</v>
      </c>
      <c r="H61" s="77" t="e">
        <f t="shared" ref="H61:J61" si="51">G61</f>
        <v>#DIV/0!</v>
      </c>
      <c r="I61" s="77" t="e">
        <f t="shared" si="51"/>
        <v>#DIV/0!</v>
      </c>
      <c r="J61" s="77" t="e">
        <f t="shared" si="51"/>
        <v>#DIV/0!</v>
      </c>
    </row>
    <row r="62" spans="2:10" hidden="1" outlineLevel="1"/>
    <row r="63" spans="2:10" collapsed="1"/>
  </sheetData>
  <sheetProtection formatCells="0" insertHyperlinks="0" autoFilter="0"/>
  <phoneticPr fontId="40" type="noConversion"/>
  <pageMargins left="0.7" right="0.7" top="0.75" bottom="0.75" header="0.3" footer="0.3"/>
  <pageSetup paperSize="9" orientation="portrait" horizontalDpi="300" verticalDpi="300"/>
  <ignoredErrors>
    <ignoredError sqref="C6:E23" evalError="1"/>
    <ignoredError sqref="C5:E5" evalError="1" formula="1"/>
    <ignoredError sqref="G12:J12 F18:J1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P84"/>
  <sheetViews>
    <sheetView showGridLines="0" zoomScale="104" zoomScaleNormal="59" workbookViewId="0">
      <pane xSplit="2" ySplit="2" topLeftCell="C7" activePane="bottomRight" state="frozen"/>
      <selection pane="topRight"/>
      <selection pane="bottomLeft"/>
      <selection pane="bottomRight"/>
    </sheetView>
  </sheetViews>
  <sheetFormatPr defaultColWidth="0" defaultRowHeight="12.5"/>
  <cols>
    <col min="1" max="1" width="3.3984375" style="1" customWidth="1"/>
    <col min="2" max="2" width="23.19921875" style="1" customWidth="1"/>
    <col min="3" max="8" width="11.59765625" style="1" customWidth="1"/>
    <col min="9" max="10" width="10.796875" style="1" customWidth="1"/>
    <col min="11" max="11" width="4.3984375" style="1" customWidth="1"/>
    <col min="12" max="12" width="68.19921875" style="1" customWidth="1"/>
    <col min="13" max="68" width="0" style="1" hidden="1" customWidth="1"/>
    <col min="69" max="16384" width="9" style="1" hidden="1"/>
  </cols>
  <sheetData>
    <row r="2" spans="1:68" ht="14.5">
      <c r="A2" s="2"/>
      <c r="B2" s="99" t="s">
        <v>0</v>
      </c>
      <c r="C2" s="51">
        <f t="shared" ref="C2:E2" si="0">D2-1</f>
        <v>2021</v>
      </c>
      <c r="D2" s="51">
        <f t="shared" si="0"/>
        <v>2022</v>
      </c>
      <c r="E2" s="51">
        <f t="shared" si="0"/>
        <v>2023</v>
      </c>
      <c r="F2" s="52">
        <f>F4</f>
        <v>2024</v>
      </c>
      <c r="G2" s="52">
        <f t="shared" ref="G2:J2" si="1">F2+1</f>
        <v>2025</v>
      </c>
      <c r="H2" s="52">
        <f t="shared" si="1"/>
        <v>2026</v>
      </c>
      <c r="I2" s="52">
        <f t="shared" si="1"/>
        <v>2027</v>
      </c>
      <c r="J2" s="52">
        <f t="shared" si="1"/>
        <v>2028</v>
      </c>
      <c r="K2" s="106"/>
      <c r="L2" s="106" t="s">
        <v>188</v>
      </c>
      <c r="N2" s="106"/>
      <c r="O2" s="106"/>
      <c r="P2" s="106"/>
      <c r="Q2" s="106"/>
      <c r="R2" s="106"/>
      <c r="S2" s="106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</row>
    <row r="3" spans="1:68" ht="13">
      <c r="A3" s="2"/>
      <c r="B3" s="100"/>
      <c r="C3" s="101"/>
      <c r="D3" s="101"/>
      <c r="E3" s="101"/>
      <c r="F3" s="102"/>
      <c r="G3" s="102"/>
      <c r="H3" s="102"/>
      <c r="I3" s="102"/>
      <c r="J3" s="102"/>
      <c r="K3" s="125"/>
      <c r="L3" s="125"/>
      <c r="M3" s="125"/>
      <c r="N3" s="125"/>
      <c r="O3" s="125"/>
      <c r="P3" s="125"/>
      <c r="Q3" s="125"/>
      <c r="R3" s="125"/>
      <c r="S3" s="125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4" spans="1:68" ht="14.5">
      <c r="A4" s="2"/>
      <c r="B4" s="82" t="s">
        <v>306</v>
      </c>
      <c r="C4" s="101"/>
      <c r="D4" s="101"/>
      <c r="E4" s="101"/>
      <c r="F4" s="103">
        <v>2024</v>
      </c>
      <c r="G4" s="102"/>
      <c r="H4" s="102"/>
      <c r="I4" s="102"/>
      <c r="J4" s="102"/>
      <c r="K4" s="125"/>
      <c r="L4" s="125"/>
      <c r="M4" s="125"/>
      <c r="N4" s="125"/>
      <c r="O4" s="125"/>
      <c r="P4" s="125"/>
      <c r="Q4" s="125"/>
      <c r="R4" s="125"/>
      <c r="S4" s="125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</row>
    <row r="5" spans="1:68" ht="13">
      <c r="A5" s="2"/>
      <c r="B5" s="100"/>
      <c r="C5" s="101"/>
      <c r="D5" s="101"/>
      <c r="E5" s="101"/>
      <c r="F5" s="102"/>
      <c r="G5" s="102"/>
      <c r="H5" s="102"/>
      <c r="I5" s="102"/>
      <c r="J5" s="102"/>
      <c r="K5" s="125"/>
      <c r="L5" s="125"/>
      <c r="M5" s="125"/>
      <c r="N5" s="125"/>
      <c r="O5" s="125"/>
      <c r="P5" s="125"/>
      <c r="Q5" s="125"/>
      <c r="R5" s="125"/>
      <c r="S5" s="125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</row>
    <row r="6" spans="1:68">
      <c r="B6" s="104" t="s">
        <v>307</v>
      </c>
      <c r="C6" s="105"/>
      <c r="D6" s="105"/>
      <c r="E6" s="105"/>
      <c r="F6" s="105"/>
      <c r="G6" s="105"/>
      <c r="H6" s="105"/>
      <c r="I6" s="105"/>
      <c r="J6" s="105"/>
      <c r="K6" s="106"/>
    </row>
    <row r="7" spans="1:68">
      <c r="B7" s="81"/>
      <c r="C7" s="106"/>
      <c r="D7" s="106"/>
      <c r="E7" s="106"/>
      <c r="F7" s="106"/>
      <c r="G7" s="106"/>
      <c r="H7" s="106"/>
      <c r="I7" s="106"/>
      <c r="J7" s="106"/>
      <c r="K7" s="106"/>
      <c r="L7" s="106"/>
    </row>
    <row r="8" spans="1:68" ht="14.5">
      <c r="B8" s="1" t="s">
        <v>308</v>
      </c>
      <c r="C8" s="107">
        <v>2</v>
      </c>
      <c r="D8" s="1" t="str">
        <f>CHOOSE(C8,"保守情形","基本情形","乐观情形")</f>
        <v>基本情形</v>
      </c>
      <c r="E8" s="108"/>
      <c r="F8" s="109"/>
      <c r="G8" s="109"/>
      <c r="H8" s="109"/>
      <c r="I8" s="109"/>
      <c r="J8" s="109"/>
      <c r="K8" s="125"/>
      <c r="L8" s="125"/>
    </row>
    <row r="9" spans="1:68" ht="14.5">
      <c r="B9" s="81" t="s">
        <v>309</v>
      </c>
      <c r="C9" s="106">
        <f>IS!C4</f>
        <v>343360.83</v>
      </c>
      <c r="D9" s="106">
        <f>IS!D4</f>
        <v>345708.71</v>
      </c>
      <c r="E9" s="106">
        <f>IS!E4</f>
        <v>373709.8</v>
      </c>
      <c r="F9" s="106">
        <f>E9*(1+F10)</f>
        <v>391948.94613802043</v>
      </c>
      <c r="G9" s="106">
        <f>F9*(1+G10)</f>
        <v>414028.01690320246</v>
      </c>
      <c r="H9" s="106">
        <f>G9*(1+H10)</f>
        <v>440828.11213025462</v>
      </c>
      <c r="I9" s="106">
        <f>H9*(1+I10)</f>
        <v>473455.11992943543</v>
      </c>
      <c r="J9" s="106">
        <f>I9*(1+J10)</f>
        <v>513300.75187190162</v>
      </c>
      <c r="K9" s="106"/>
      <c r="M9" s="125"/>
    </row>
    <row r="10" spans="1:68" ht="14.5">
      <c r="B10" s="81" t="s">
        <v>310</v>
      </c>
      <c r="C10" s="106"/>
      <c r="D10" s="110">
        <f>IS!D4/IS!C4-1</f>
        <v>6.837937804379246E-3</v>
      </c>
      <c r="E10" s="110">
        <f>IS!E4/IS!D4-1</f>
        <v>8.0996194744413552E-2</v>
      </c>
      <c r="F10" s="110">
        <f>CHOOSE(Assumptions!$C$8,F11,F12,F13)</f>
        <v>4.8805640467604702E-2</v>
      </c>
      <c r="G10" s="110">
        <f>CHOOSE(Assumptions!$C$8,G11,G12,G13)</f>
        <v>5.6331496698060098E-2</v>
      </c>
      <c r="H10" s="110">
        <f>CHOOSE(Assumptions!$C$8,H11,H12,H13)</f>
        <v>6.47301490066019E-2</v>
      </c>
      <c r="I10" s="110">
        <f>CHOOSE(Assumptions!$C$8,I11,I12,I13)</f>
        <v>7.4012992595944696E-2</v>
      </c>
      <c r="J10" s="110">
        <f>CHOOSE(Assumptions!$C$8,J11,J12,J13)</f>
        <v>8.4159258745379897E-2</v>
      </c>
      <c r="K10" s="106"/>
      <c r="L10" s="106"/>
    </row>
    <row r="11" spans="1:68" ht="14.5">
      <c r="B11" s="111" t="s">
        <v>311</v>
      </c>
      <c r="C11" s="112"/>
      <c r="D11" s="112"/>
      <c r="E11" s="112"/>
      <c r="F11" s="113">
        <f>F12*0.9</f>
        <v>4.39250764208442E-2</v>
      </c>
      <c r="G11" s="113">
        <f t="shared" ref="G11:J11" si="2">G12*0.9</f>
        <v>5.0698347028254098E-2</v>
      </c>
      <c r="H11" s="113">
        <f t="shared" si="2"/>
        <v>5.8257134105941702E-2</v>
      </c>
      <c r="I11" s="113">
        <f t="shared" si="2"/>
        <v>6.6611693336350294E-2</v>
      </c>
      <c r="J11" s="113">
        <f t="shared" si="2"/>
        <v>7.5743332870841895E-2</v>
      </c>
      <c r="K11" s="106"/>
      <c r="L11" s="106" t="s">
        <v>312</v>
      </c>
    </row>
    <row r="12" spans="1:68" ht="14.5">
      <c r="B12" s="111" t="s">
        <v>313</v>
      </c>
      <c r="C12" s="112"/>
      <c r="D12" s="112"/>
      <c r="E12" s="112"/>
      <c r="F12" s="113">
        <f>收入拆分!F5</f>
        <v>4.8805640467604702E-2</v>
      </c>
      <c r="G12" s="113">
        <f>收入拆分!G5</f>
        <v>5.6331496698060098E-2</v>
      </c>
      <c r="H12" s="113">
        <f>收入拆分!H5</f>
        <v>6.47301490066019E-2</v>
      </c>
      <c r="I12" s="113">
        <f>收入拆分!I5</f>
        <v>7.4012992595944696E-2</v>
      </c>
      <c r="J12" s="113">
        <f>收入拆分!J5</f>
        <v>8.4159258745379897E-2</v>
      </c>
      <c r="K12" s="106"/>
      <c r="L12" s="106"/>
    </row>
    <row r="13" spans="1:68" ht="14.5">
      <c r="B13" s="111" t="s">
        <v>314</v>
      </c>
      <c r="C13" s="112"/>
      <c r="D13" s="112"/>
      <c r="E13" s="112"/>
      <c r="F13" s="113">
        <f>F12*1.1</f>
        <v>5.3686204514365198E-2</v>
      </c>
      <c r="G13" s="113">
        <f t="shared" ref="G13:J13" si="3">G12*1.1</f>
        <v>6.1964646367866201E-2</v>
      </c>
      <c r="H13" s="113">
        <f t="shared" si="3"/>
        <v>7.1203163907262099E-2</v>
      </c>
      <c r="I13" s="113">
        <f t="shared" si="3"/>
        <v>8.1414291855539195E-2</v>
      </c>
      <c r="J13" s="113">
        <f t="shared" si="3"/>
        <v>9.25751846199179E-2</v>
      </c>
      <c r="K13" s="106"/>
      <c r="L13" s="106" t="s">
        <v>315</v>
      </c>
    </row>
    <row r="14" spans="1:68" ht="14.5">
      <c r="B14" s="81" t="s">
        <v>316</v>
      </c>
      <c r="C14" s="110">
        <f>(IS!C4+IS!C5)/IS!C4</f>
        <v>0.22959762183706281</v>
      </c>
      <c r="D14" s="110">
        <f>(IS!D4+IS!D5)/IS!D4</f>
        <v>0.24636350643291574</v>
      </c>
      <c r="E14" s="110">
        <f>(IS!E4+IS!E5)/IS!E4</f>
        <v>0.26819855941695936</v>
      </c>
      <c r="F14" s="114">
        <f>收入拆分!F7</f>
        <v>0.27753000619236401</v>
      </c>
      <c r="G14" s="114">
        <f>收入拆分!G7</f>
        <v>0.27665012544541601</v>
      </c>
      <c r="H14" s="114">
        <f>收入拆分!H7</f>
        <v>0.27596189558002698</v>
      </c>
      <c r="I14" s="114">
        <f>收入拆分!I7</f>
        <v>0.27552584772783101</v>
      </c>
      <c r="J14" s="114">
        <f>收入拆分!J7</f>
        <v>0.27540383286084402</v>
      </c>
      <c r="K14" s="106"/>
      <c r="L14" s="1" t="s">
        <v>317</v>
      </c>
      <c r="M14" s="106"/>
    </row>
    <row r="15" spans="1:68" ht="14.5">
      <c r="B15" s="81" t="s">
        <v>318</v>
      </c>
      <c r="C15" s="110">
        <f>-IS!C6/IS!C$4</f>
        <v>4.6871391824163519E-3</v>
      </c>
      <c r="D15" s="110">
        <f>-IS!D6/IS!D$4</f>
        <v>4.5294780105482445E-3</v>
      </c>
      <c r="E15" s="110">
        <f>-IS!E6/IS!E$4</f>
        <v>4.8607234811610511E-3</v>
      </c>
      <c r="F15" s="77">
        <f>E15</f>
        <v>4.8607234811610511E-3</v>
      </c>
      <c r="G15" s="77">
        <f t="shared" ref="G15:G20" si="4">F15</f>
        <v>4.8607234811610511E-3</v>
      </c>
      <c r="H15" s="77">
        <f t="shared" ref="H15:J20" si="5">G15</f>
        <v>4.8607234811610511E-3</v>
      </c>
      <c r="I15" s="77">
        <f t="shared" si="5"/>
        <v>4.8607234811610511E-3</v>
      </c>
      <c r="J15" s="77">
        <f t="shared" si="5"/>
        <v>4.8607234811610511E-3</v>
      </c>
      <c r="K15" s="106"/>
      <c r="L15" s="106" t="s">
        <v>319</v>
      </c>
      <c r="M15" s="106"/>
    </row>
    <row r="16" spans="1:68" ht="14.5">
      <c r="B16" s="81" t="s">
        <v>320</v>
      </c>
      <c r="C16" s="110">
        <f>-IS!C7/IS!C$4</f>
        <v>8.3432172504941809E-2</v>
      </c>
      <c r="D16" s="110">
        <f>-IS!D7/IS!D$4</f>
        <v>8.3064496697233911E-2</v>
      </c>
      <c r="E16" s="110">
        <f>-IS!E7/IS!E$4</f>
        <v>9.3336808400528964E-2</v>
      </c>
      <c r="F16" s="77">
        <f>E16+0.001</f>
        <v>9.4336808400528965E-2</v>
      </c>
      <c r="G16" s="77">
        <f t="shared" ref="G16:J16" si="6">F16+0.001</f>
        <v>9.5336808400528966E-2</v>
      </c>
      <c r="H16" s="77">
        <f t="shared" si="6"/>
        <v>9.6336808400528967E-2</v>
      </c>
      <c r="I16" s="77">
        <f t="shared" si="6"/>
        <v>9.7336808400528968E-2</v>
      </c>
      <c r="J16" s="77">
        <f t="shared" si="6"/>
        <v>9.8336808400528969E-2</v>
      </c>
      <c r="K16" s="106"/>
      <c r="L16" s="1" t="s">
        <v>321</v>
      </c>
      <c r="M16" s="106"/>
    </row>
    <row r="17" spans="2:16" ht="14.5">
      <c r="B17" s="81" t="s">
        <v>322</v>
      </c>
      <c r="C17" s="110">
        <f>-IS!C8/IS!C$4</f>
        <v>2.9899391843851264E-2</v>
      </c>
      <c r="D17" s="110">
        <f>-IS!D8/IS!D$4</f>
        <v>3.3504102340956347E-2</v>
      </c>
      <c r="E17" s="110">
        <f>-IS!E8/IS!E$4</f>
        <v>3.606250090310717E-2</v>
      </c>
      <c r="F17" s="77">
        <f>E17-0.001</f>
        <v>3.5062500903107169E-2</v>
      </c>
      <c r="G17" s="77">
        <f>F17</f>
        <v>3.5062500903107169E-2</v>
      </c>
      <c r="H17" s="77">
        <f t="shared" ref="H17:J17" si="7">G17</f>
        <v>3.5062500903107169E-2</v>
      </c>
      <c r="I17" s="77">
        <f t="shared" si="7"/>
        <v>3.5062500903107169E-2</v>
      </c>
      <c r="J17" s="77">
        <f t="shared" si="7"/>
        <v>3.5062500903107169E-2</v>
      </c>
      <c r="K17" s="106"/>
      <c r="L17" s="126" t="s">
        <v>323</v>
      </c>
      <c r="M17" s="106"/>
    </row>
    <row r="18" spans="2:16" ht="14.5">
      <c r="B18" s="81" t="s">
        <v>324</v>
      </c>
      <c r="C18" s="110">
        <f>-IS!C9/IS!C$4</f>
        <v>3.4992081071099461E-2</v>
      </c>
      <c r="D18" s="110">
        <f>-IS!D9/IS!D$4</f>
        <v>3.6500410996298006E-2</v>
      </c>
      <c r="E18" s="110">
        <f>-IS!E9/IS!E$4</f>
        <v>3.9023086897908482E-2</v>
      </c>
      <c r="F18" s="77">
        <f>E18</f>
        <v>3.9023086897908482E-2</v>
      </c>
      <c r="G18" s="77">
        <f t="shared" si="4"/>
        <v>3.9023086897908482E-2</v>
      </c>
      <c r="H18" s="77">
        <f t="shared" si="5"/>
        <v>3.9023086897908482E-2</v>
      </c>
      <c r="I18" s="77">
        <f t="shared" si="5"/>
        <v>3.9023086897908482E-2</v>
      </c>
      <c r="J18" s="77">
        <f t="shared" si="5"/>
        <v>3.9023086897908482E-2</v>
      </c>
      <c r="K18" s="106"/>
      <c r="L18" s="127" t="s">
        <v>325</v>
      </c>
      <c r="M18" s="106"/>
    </row>
    <row r="19" spans="2:16" ht="14.5">
      <c r="B19" s="81" t="s">
        <v>326</v>
      </c>
      <c r="C19" s="110">
        <f>-IS!C11/IS!C4</f>
        <v>-1.2774054629353031E-2</v>
      </c>
      <c r="D19" s="110">
        <f>-IS!D11/IS!D4</f>
        <v>-9.798682827516841E-3</v>
      </c>
      <c r="E19" s="110">
        <f>-IS!E11/IS!E4</f>
        <v>-8.7277882463879727E-3</v>
      </c>
      <c r="F19" s="110">
        <f ca="1">-IS!F11/IS!F4</f>
        <v>2.3425307781241053E-3</v>
      </c>
      <c r="G19" s="110">
        <f ca="1">-IS!G11/IS!G4</f>
        <v>1.6395198752812868E-3</v>
      </c>
      <c r="H19" s="110">
        <f ca="1">-IS!H11/IS!H4</f>
        <v>1.0330315493691413E-3</v>
      </c>
      <c r="I19" s="110">
        <f ca="1">-IS!I11/IS!I4</f>
        <v>4.4022608911903918E-4</v>
      </c>
      <c r="J19" s="110">
        <f ca="1">-IS!J11/IS!J4</f>
        <v>-1.310108003141831E-4</v>
      </c>
      <c r="K19" s="106"/>
      <c r="L19" s="106"/>
      <c r="M19" s="106"/>
    </row>
    <row r="20" spans="2:16" ht="14.5">
      <c r="B20" s="81" t="s">
        <v>327</v>
      </c>
      <c r="C20" s="110">
        <f>-IS!C23/IS!C22</f>
        <v>0.13904497123097362</v>
      </c>
      <c r="D20" s="110">
        <f>-IS!D23/IS!D22</f>
        <v>0.14696507705120485</v>
      </c>
      <c r="E20" s="110">
        <f>-IS!E23/IS!E22</f>
        <v>0.1620298374767658</v>
      </c>
      <c r="F20" s="77">
        <f>AVERAGE(E20)</f>
        <v>0.1620298374767658</v>
      </c>
      <c r="G20" s="77">
        <f t="shared" si="4"/>
        <v>0.1620298374767658</v>
      </c>
      <c r="H20" s="77">
        <f t="shared" si="5"/>
        <v>0.1620298374767658</v>
      </c>
      <c r="I20" s="77">
        <f t="shared" si="5"/>
        <v>0.1620298374767658</v>
      </c>
      <c r="J20" s="77">
        <f t="shared" si="5"/>
        <v>0.1620298374767658</v>
      </c>
      <c r="K20" s="106"/>
      <c r="L20" s="106" t="s">
        <v>328</v>
      </c>
      <c r="M20" s="106"/>
    </row>
    <row r="21" spans="2:16" ht="14.5">
      <c r="B21" s="81" t="s">
        <v>329</v>
      </c>
      <c r="C21" s="115">
        <f>IS!C10/IS!C4</f>
        <v>7.6586837234753929E-2</v>
      </c>
      <c r="D21" s="115">
        <f>IS!D10/IS!D4</f>
        <v>8.8765018387879216E-2</v>
      </c>
      <c r="E21" s="115">
        <f>IS!E10/IS!E4</f>
        <v>9.4915439734253704E-2</v>
      </c>
      <c r="F21" s="115">
        <f>IS!F10/IS!F4</f>
        <v>0.10424688650965831</v>
      </c>
      <c r="G21" s="115">
        <f>IS!G10/IS!G4</f>
        <v>0.10236700576271027</v>
      </c>
      <c r="H21" s="115">
        <f>IS!H10/IS!H4</f>
        <v>0.10067877589732126</v>
      </c>
      <c r="I21" s="115">
        <f>IS!I10/IS!I4</f>
        <v>9.9242728045125433E-2</v>
      </c>
      <c r="J21" s="115">
        <f>IS!J10/IS!J4</f>
        <v>9.812071317813835E-2</v>
      </c>
      <c r="K21" s="106"/>
      <c r="L21" s="106"/>
    </row>
    <row r="22" spans="2:16" ht="14.5">
      <c r="B22" s="81" t="s">
        <v>330</v>
      </c>
      <c r="C22" s="110">
        <f>IS!C24/IS!C4</f>
        <v>8.4795490504843016E-2</v>
      </c>
      <c r="D22" s="110">
        <f>IS!D24/IS!D4</f>
        <v>8.6394641315227491E-2</v>
      </c>
      <c r="E22" s="110">
        <f>IS!E24/IS!E4</f>
        <v>9.0392545231620922E-2</v>
      </c>
      <c r="F22" s="110">
        <f ca="1">IS!F24/IS!F4</f>
        <v>8.9421605025922182E-2</v>
      </c>
      <c r="G22" s="110">
        <f ca="1">IS!G24/IS!G4</f>
        <v>8.8220577700628355E-2</v>
      </c>
      <c r="H22" s="110">
        <f ca="1">IS!H24/IS!H4</f>
        <v>8.708224190918161E-2</v>
      </c>
      <c r="I22" s="110">
        <f ca="1">IS!I24/IS!I4</f>
        <v>8.6128779524823437E-2</v>
      </c>
      <c r="J22" s="110">
        <f ca="1">IS!J24/IS!J4</f>
        <v>8.5408342419176095E-2</v>
      </c>
      <c r="K22" s="106"/>
      <c r="L22" s="106"/>
    </row>
    <row r="23" spans="2:16" ht="14.5">
      <c r="B23" s="81" t="s">
        <v>331</v>
      </c>
      <c r="C23" s="110">
        <f>IS!C27/IS!C26</f>
        <v>-0.40727188519661878</v>
      </c>
      <c r="D23" s="110">
        <f>IS!D27/IS!D26</f>
        <v>-0.58050040086914645</v>
      </c>
      <c r="E23" s="110">
        <f>IS!E27/IS!E26</f>
        <v>-0.61560958383844111</v>
      </c>
      <c r="F23" s="114">
        <f>C23</f>
        <v>-0.40727188519661878</v>
      </c>
      <c r="G23" s="114">
        <f>F23</f>
        <v>-0.40727188519661878</v>
      </c>
      <c r="H23" s="114">
        <f>G23</f>
        <v>-0.40727188519661878</v>
      </c>
      <c r="I23" s="114">
        <f>H23</f>
        <v>-0.40727188519661878</v>
      </c>
      <c r="J23" s="114">
        <f>I23</f>
        <v>-0.40727188519661878</v>
      </c>
      <c r="K23" s="106"/>
      <c r="L23" s="126" t="s">
        <v>487</v>
      </c>
      <c r="M23" s="106"/>
    </row>
    <row r="24" spans="2:16">
      <c r="B24" s="81" t="s">
        <v>332</v>
      </c>
      <c r="C24" s="110">
        <f>IS!C25/IS!C4</f>
        <v>1.286489201461914E-3</v>
      </c>
      <c r="D24" s="110">
        <f>IS!D25/IS!D4</f>
        <v>7.4259048896974566E-4</v>
      </c>
      <c r="E24" s="110">
        <f>IS!E25/IS!E4</f>
        <v>6.802069413218492E-5</v>
      </c>
      <c r="F24" s="114">
        <f>E24</f>
        <v>6.802069413218492E-5</v>
      </c>
      <c r="G24" s="114">
        <f t="shared" ref="G24:J24" si="8">F24</f>
        <v>6.802069413218492E-5</v>
      </c>
      <c r="H24" s="114">
        <f t="shared" si="8"/>
        <v>6.802069413218492E-5</v>
      </c>
      <c r="I24" s="114">
        <f t="shared" si="8"/>
        <v>6.802069413218492E-5</v>
      </c>
      <c r="J24" s="114">
        <f t="shared" si="8"/>
        <v>6.802069413218492E-5</v>
      </c>
      <c r="K24" s="106"/>
      <c r="L24" s="106" t="s">
        <v>333</v>
      </c>
      <c r="M24" s="106"/>
    </row>
    <row r="26" spans="2:16" ht="13">
      <c r="B26" s="116" t="s">
        <v>334</v>
      </c>
      <c r="C26" s="117"/>
      <c r="D26" s="117"/>
      <c r="E26" s="117"/>
      <c r="F26" s="117"/>
      <c r="G26" s="117"/>
      <c r="H26" s="117"/>
      <c r="I26" s="117"/>
      <c r="J26" s="117"/>
      <c r="K26" s="106"/>
      <c r="L26" s="106"/>
      <c r="M26" s="106"/>
      <c r="N26" s="106"/>
      <c r="O26" s="106"/>
      <c r="P26" s="106"/>
    </row>
    <row r="27" spans="2:16" ht="13">
      <c r="B27" s="56"/>
      <c r="C27" s="118"/>
      <c r="D27" s="118"/>
      <c r="E27" s="118"/>
      <c r="F27" s="118"/>
      <c r="G27" s="118"/>
      <c r="H27" s="118"/>
      <c r="I27" s="118"/>
      <c r="J27" s="118"/>
      <c r="K27" s="106"/>
      <c r="L27" s="106"/>
      <c r="M27" s="106"/>
      <c r="N27" s="106"/>
      <c r="O27" s="106"/>
      <c r="P27" s="106"/>
    </row>
    <row r="28" spans="2:16" ht="14.5">
      <c r="B28" s="81" t="s">
        <v>335</v>
      </c>
      <c r="C28" s="115">
        <f>BS!C5/IS!C4</f>
        <v>0.20932952660907767</v>
      </c>
      <c r="D28" s="115">
        <f>BS!D5/IS!D4</f>
        <v>0.15987476855876728</v>
      </c>
      <c r="E28" s="115">
        <f>BS!E5/IS!E4</f>
        <v>0.21854885796412085</v>
      </c>
      <c r="F28" s="114">
        <f>AVERAGE(C28:E28)</f>
        <v>0.19591771771065525</v>
      </c>
      <c r="G28" s="114">
        <f>F28</f>
        <v>0.19591771771065525</v>
      </c>
      <c r="H28" s="114">
        <f>G28</f>
        <v>0.19591771771065525</v>
      </c>
      <c r="I28" s="114">
        <f>H28</f>
        <v>0.19591771771065525</v>
      </c>
      <c r="J28" s="114">
        <f>I28</f>
        <v>0.19591771771065525</v>
      </c>
      <c r="K28" s="106"/>
      <c r="L28" s="128" t="s">
        <v>336</v>
      </c>
    </row>
    <row r="29" spans="2:16" ht="14.5">
      <c r="B29" s="1" t="s">
        <v>337</v>
      </c>
      <c r="C29" s="119">
        <f>BS!C8+BS!C9</f>
        <v>29421.35</v>
      </c>
      <c r="D29" s="119">
        <f>BS!D8+BS!D9</f>
        <v>32996.1</v>
      </c>
      <c r="E29" s="119">
        <f>BS!E8+BS!E9</f>
        <v>38406.699999999997</v>
      </c>
      <c r="F29" s="119">
        <f>IFERROR(IS!F4/(365/F30),0)</f>
        <v>40281.16359174715</v>
      </c>
      <c r="G29" s="119">
        <f>IFERROR(IS!G4/(365/G30),0)</f>
        <v>42550.261825609676</v>
      </c>
      <c r="H29" s="119">
        <f>IFERROR(IS!H4/(365/H30),0)</f>
        <v>45304.546613851315</v>
      </c>
      <c r="I29" s="119">
        <f>IFERROR(IS!I4/(365/I30),0)</f>
        <v>48657.671686944923</v>
      </c>
      <c r="J29" s="119">
        <f>IFERROR(IS!J4/(365/J30),0)</f>
        <v>52752.665268394259</v>
      </c>
      <c r="K29" s="106"/>
      <c r="L29" s="106"/>
      <c r="M29" s="106"/>
      <c r="N29" s="106"/>
      <c r="O29" s="106"/>
      <c r="P29" s="106"/>
    </row>
    <row r="30" spans="2:16" ht="14.5">
      <c r="B30" s="1" t="s">
        <v>338</v>
      </c>
      <c r="C30" s="119">
        <f>IFERROR(365/(IS!C4/C29),0)</f>
        <v>31.275532360519978</v>
      </c>
      <c r="D30" s="119">
        <f>IFERROR(365/(IS!D4/D29),0)</f>
        <v>34.83735338921602</v>
      </c>
      <c r="E30" s="119">
        <f>IFERROR(365/(IS!E4/E29),0)</f>
        <v>37.511581178764914</v>
      </c>
      <c r="F30" s="107">
        <f t="shared" ref="F30:F36" si="9">E30</f>
        <v>37.511581178764914</v>
      </c>
      <c r="G30" s="107">
        <f t="shared" ref="G30:J35" si="10">F30</f>
        <v>37.511581178764914</v>
      </c>
      <c r="H30" s="107">
        <f t="shared" si="10"/>
        <v>37.511581178764914</v>
      </c>
      <c r="I30" s="107">
        <f t="shared" si="10"/>
        <v>37.511581178764914</v>
      </c>
      <c r="J30" s="107">
        <f t="shared" si="10"/>
        <v>37.511581178764914</v>
      </c>
      <c r="K30" s="106"/>
      <c r="L30" s="126" t="s">
        <v>488</v>
      </c>
      <c r="M30" s="125"/>
      <c r="N30" s="106"/>
      <c r="O30" s="106"/>
      <c r="P30" s="106"/>
    </row>
    <row r="31" spans="2:16" ht="14.5">
      <c r="B31" s="1" t="s">
        <v>339</v>
      </c>
      <c r="C31" s="115">
        <f>BS!C8/C$29</f>
        <v>0.16263393759973624</v>
      </c>
      <c r="D31" s="115">
        <f>BS!D8/D$29</f>
        <v>0.14420279972481598</v>
      </c>
      <c r="E31" s="115">
        <f>BS!E8/E$29</f>
        <v>0.14377595575771937</v>
      </c>
      <c r="F31" s="114">
        <f t="shared" si="9"/>
        <v>0.14377595575771937</v>
      </c>
      <c r="G31" s="114">
        <f t="shared" si="10"/>
        <v>0.14377595575771937</v>
      </c>
      <c r="H31" s="114">
        <f t="shared" si="10"/>
        <v>0.14377595575771937</v>
      </c>
      <c r="I31" s="114">
        <f t="shared" si="10"/>
        <v>0.14377595575771937</v>
      </c>
      <c r="J31" s="114">
        <f t="shared" si="10"/>
        <v>0.14377595575771937</v>
      </c>
      <c r="K31" s="106"/>
      <c r="L31" s="106"/>
      <c r="M31" s="125"/>
      <c r="N31" s="106"/>
      <c r="O31" s="106"/>
      <c r="P31" s="106"/>
    </row>
    <row r="32" spans="2:16" ht="14.5">
      <c r="B32" s="1" t="s">
        <v>340</v>
      </c>
      <c r="C32" s="115">
        <f>BS!C9/C$29</f>
        <v>0.83736606240026379</v>
      </c>
      <c r="D32" s="115">
        <f>BS!D9/D$29</f>
        <v>0.85579720027518413</v>
      </c>
      <c r="E32" s="115">
        <f>BS!E9/E$29</f>
        <v>0.8562240442422806</v>
      </c>
      <c r="F32" s="114">
        <f t="shared" si="9"/>
        <v>0.8562240442422806</v>
      </c>
      <c r="G32" s="114">
        <f t="shared" si="10"/>
        <v>0.8562240442422806</v>
      </c>
      <c r="H32" s="114">
        <f t="shared" si="10"/>
        <v>0.8562240442422806</v>
      </c>
      <c r="I32" s="114">
        <f t="shared" si="10"/>
        <v>0.8562240442422806</v>
      </c>
      <c r="J32" s="114">
        <f t="shared" si="10"/>
        <v>0.8562240442422806</v>
      </c>
      <c r="K32" s="106"/>
      <c r="L32" s="106"/>
      <c r="M32" s="125"/>
      <c r="N32" s="106"/>
      <c r="O32" s="106"/>
      <c r="P32" s="106"/>
    </row>
    <row r="33" spans="2:16" ht="14.5">
      <c r="B33" s="1" t="s">
        <v>341</v>
      </c>
      <c r="C33" s="115">
        <f>BS!C10/C29</f>
        <v>0.34918689998929348</v>
      </c>
      <c r="D33" s="115">
        <f>BS!D10/D29</f>
        <v>0.40994359939508007</v>
      </c>
      <c r="E33" s="115">
        <f>BS!E10/E29</f>
        <v>0.34707511970567639</v>
      </c>
      <c r="F33" s="114">
        <f t="shared" si="9"/>
        <v>0.34707511970567639</v>
      </c>
      <c r="G33" s="114">
        <f t="shared" si="10"/>
        <v>0.34707511970567639</v>
      </c>
      <c r="H33" s="114">
        <f t="shared" si="10"/>
        <v>0.34707511970567639</v>
      </c>
      <c r="I33" s="114">
        <f t="shared" si="10"/>
        <v>0.34707511970567639</v>
      </c>
      <c r="J33" s="114">
        <f t="shared" si="10"/>
        <v>0.34707511970567639</v>
      </c>
      <c r="K33" s="106"/>
      <c r="L33" s="106"/>
      <c r="M33" s="125"/>
      <c r="N33" s="106"/>
      <c r="O33" s="106"/>
      <c r="P33" s="106"/>
    </row>
    <row r="34" spans="2:16" ht="14.5">
      <c r="B34" s="1" t="s">
        <v>342</v>
      </c>
      <c r="C34" s="110">
        <f>-BS!C11/IS!C5</f>
        <v>1.6455131064621247E-2</v>
      </c>
      <c r="D34" s="110">
        <f>-BS!D11/IS!D5</f>
        <v>1.6762231484228639E-2</v>
      </c>
      <c r="E34" s="110">
        <f>-BS!E11/IS!E5</f>
        <v>1.212583511630061E-2</v>
      </c>
      <c r="F34" s="114">
        <f t="shared" si="9"/>
        <v>1.212583511630061E-2</v>
      </c>
      <c r="G34" s="114">
        <f t="shared" si="10"/>
        <v>1.212583511630061E-2</v>
      </c>
      <c r="H34" s="114">
        <f t="shared" si="10"/>
        <v>1.212583511630061E-2</v>
      </c>
      <c r="I34" s="114">
        <f t="shared" si="10"/>
        <v>1.212583511630061E-2</v>
      </c>
      <c r="J34" s="114">
        <f t="shared" si="10"/>
        <v>1.212583511630061E-2</v>
      </c>
      <c r="K34" s="106"/>
      <c r="L34" s="126" t="s">
        <v>343</v>
      </c>
      <c r="M34" s="125"/>
      <c r="N34" s="106"/>
      <c r="O34" s="106"/>
      <c r="P34" s="106"/>
    </row>
    <row r="35" spans="2:16" ht="14.5">
      <c r="B35" s="1" t="s">
        <v>344</v>
      </c>
      <c r="C35" s="119">
        <f>IFERROR(365/(-IS!C5/BS!C13),0)</f>
        <v>63.367761959126888</v>
      </c>
      <c r="D35" s="119">
        <f>IFERROR(365/(-IS!D5/BS!D13),0)</f>
        <v>64.506303670049789</v>
      </c>
      <c r="E35" s="119">
        <f>IFERROR(365/(-IS!E5/BS!E13),0)</f>
        <v>63.181012659107274</v>
      </c>
      <c r="F35" s="107">
        <f t="shared" si="9"/>
        <v>63.181012659107274</v>
      </c>
      <c r="G35" s="107">
        <f t="shared" si="10"/>
        <v>63.181012659107274</v>
      </c>
      <c r="H35" s="107">
        <f t="shared" si="10"/>
        <v>63.181012659107274</v>
      </c>
      <c r="I35" s="107">
        <f t="shared" si="10"/>
        <v>63.181012659107274</v>
      </c>
      <c r="J35" s="107">
        <f t="shared" si="10"/>
        <v>63.181012659107274</v>
      </c>
      <c r="K35" s="106"/>
      <c r="L35" s="126" t="s">
        <v>343</v>
      </c>
      <c r="M35" s="125"/>
      <c r="N35" s="106"/>
      <c r="O35" s="106"/>
      <c r="P35" s="106"/>
    </row>
    <row r="36" spans="2:16" ht="14.5">
      <c r="B36" s="1" t="s">
        <v>345</v>
      </c>
      <c r="C36" s="115">
        <f>BS!C14/IS!C4</f>
        <v>1.1135457704945551E-2</v>
      </c>
      <c r="D36" s="115">
        <f>BS!D14/IS!D4</f>
        <v>1.3013730547893919E-2</v>
      </c>
      <c r="E36" s="115">
        <f>BS!E14/IS!E4</f>
        <v>1.0826395240371005E-2</v>
      </c>
      <c r="F36" s="114">
        <f t="shared" si="9"/>
        <v>1.0826395240371005E-2</v>
      </c>
      <c r="G36" s="114">
        <f>F36</f>
        <v>1.0826395240371005E-2</v>
      </c>
      <c r="H36" s="114">
        <f t="shared" ref="H36:J36" si="11">G36</f>
        <v>1.0826395240371005E-2</v>
      </c>
      <c r="I36" s="114">
        <f t="shared" si="11"/>
        <v>1.0826395240371005E-2</v>
      </c>
      <c r="J36" s="114">
        <f t="shared" si="11"/>
        <v>1.0826395240371005E-2</v>
      </c>
      <c r="K36" s="106"/>
      <c r="L36" s="106"/>
      <c r="M36" s="125"/>
      <c r="N36" s="106"/>
      <c r="O36" s="106"/>
      <c r="P36" s="106"/>
    </row>
    <row r="37" spans="2:16" ht="14.5">
      <c r="B37" s="1" t="s">
        <v>346</v>
      </c>
      <c r="C37" s="119">
        <f>BS!C53+BS!C54</f>
        <v>98735.569999999992</v>
      </c>
      <c r="D37" s="119">
        <f>BS!D53+BS!D54</f>
        <v>89805.65</v>
      </c>
      <c r="E37" s="119">
        <f>BS!E53+BS!E54</f>
        <v>94238.080000000002</v>
      </c>
      <c r="F37" s="119">
        <f>-IFERROR(IS!F5/(365/F38),0)</f>
        <v>97577.120476021053</v>
      </c>
      <c r="G37" s="119">
        <f>-IFERROR(IS!G5/(365/G38),0)</f>
        <v>103199.31707410159</v>
      </c>
      <c r="H37" s="119">
        <f>-IFERROR(IS!H5/(365/H38),0)</f>
        <v>109983.96881535978</v>
      </c>
      <c r="I37" s="119">
        <f>-IFERROR(IS!I5/(365/I38),0)</f>
        <v>118195.35112305159</v>
      </c>
      <c r="J37" s="119">
        <f>-IFERROR(IS!J5/(365/J38),0)</f>
        <v>128164.16584554689</v>
      </c>
      <c r="K37" s="106"/>
      <c r="L37" s="106"/>
      <c r="M37" s="106"/>
      <c r="N37" s="106"/>
      <c r="O37" s="106"/>
      <c r="P37" s="106"/>
    </row>
    <row r="38" spans="2:16" ht="14.5">
      <c r="B38" s="1" t="s">
        <v>347</v>
      </c>
      <c r="C38" s="119">
        <f>IFERROR(365/(-IS!C5/C37),0)</f>
        <v>136.2379616748448</v>
      </c>
      <c r="D38" s="119">
        <f>IFERROR(365/(-IS!D5/D37),0)</f>
        <v>125.81264222935017</v>
      </c>
      <c r="E38" s="119">
        <f>IFERROR(365/(-IS!E5/E37),0)</f>
        <v>125.77419514901509</v>
      </c>
      <c r="F38" s="107">
        <f>E38</f>
        <v>125.77419514901509</v>
      </c>
      <c r="G38" s="107">
        <f t="shared" ref="G38:J38" si="12">F38</f>
        <v>125.77419514901509</v>
      </c>
      <c r="H38" s="107">
        <f t="shared" si="12"/>
        <v>125.77419514901509</v>
      </c>
      <c r="I38" s="107">
        <f t="shared" si="12"/>
        <v>125.77419514901509</v>
      </c>
      <c r="J38" s="107">
        <f t="shared" si="12"/>
        <v>125.77419514901509</v>
      </c>
      <c r="K38" s="106"/>
      <c r="L38" s="126" t="s">
        <v>488</v>
      </c>
      <c r="M38" s="125"/>
      <c r="N38" s="106"/>
      <c r="O38" s="106"/>
      <c r="P38" s="106"/>
    </row>
    <row r="39" spans="2:16" ht="14.5">
      <c r="B39" s="1" t="s">
        <v>348</v>
      </c>
      <c r="C39" s="115">
        <f>BS!C53/C$37</f>
        <v>0.33171439634166289</v>
      </c>
      <c r="D39" s="115">
        <f>BS!D53/D$37</f>
        <v>0.28475290808540443</v>
      </c>
      <c r="E39" s="115">
        <f>BS!E53/E$37</f>
        <v>0.23034860217865219</v>
      </c>
      <c r="F39" s="114">
        <f t="shared" ref="F39:J43" si="13">E39</f>
        <v>0.23034860217865219</v>
      </c>
      <c r="G39" s="114">
        <f t="shared" si="13"/>
        <v>0.23034860217865219</v>
      </c>
      <c r="H39" s="114">
        <f t="shared" si="13"/>
        <v>0.23034860217865219</v>
      </c>
      <c r="I39" s="114">
        <f t="shared" si="13"/>
        <v>0.23034860217865219</v>
      </c>
      <c r="J39" s="114">
        <f t="shared" si="13"/>
        <v>0.23034860217865219</v>
      </c>
      <c r="K39" s="106"/>
      <c r="L39" s="106"/>
      <c r="M39" s="125"/>
      <c r="N39" s="106"/>
      <c r="O39" s="106"/>
      <c r="P39" s="106"/>
    </row>
    <row r="40" spans="2:16" ht="14.5">
      <c r="B40" s="1" t="s">
        <v>349</v>
      </c>
      <c r="C40" s="115">
        <f>BS!C54/C$37</f>
        <v>0.66828560365833711</v>
      </c>
      <c r="D40" s="115">
        <f>BS!D54/D$37</f>
        <v>0.71524709191459568</v>
      </c>
      <c r="E40" s="115">
        <f>BS!E54/E$37</f>
        <v>0.76965139782134784</v>
      </c>
      <c r="F40" s="114">
        <f t="shared" si="13"/>
        <v>0.76965139782134784</v>
      </c>
      <c r="G40" s="114">
        <f t="shared" si="13"/>
        <v>0.76965139782134784</v>
      </c>
      <c r="H40" s="114">
        <f t="shared" si="13"/>
        <v>0.76965139782134784</v>
      </c>
      <c r="I40" s="114">
        <f t="shared" si="13"/>
        <v>0.76965139782134784</v>
      </c>
      <c r="J40" s="114">
        <f t="shared" si="13"/>
        <v>0.76965139782134784</v>
      </c>
      <c r="K40" s="106"/>
      <c r="L40" s="106"/>
      <c r="M40" s="125"/>
      <c r="N40" s="106"/>
      <c r="O40" s="106"/>
      <c r="P40" s="106"/>
    </row>
    <row r="41" spans="2:16" ht="14.5">
      <c r="B41" s="1" t="s">
        <v>350</v>
      </c>
      <c r="C41" s="115">
        <f>BS!C55/IS!C4</f>
        <v>0</v>
      </c>
      <c r="D41" s="115">
        <f>BS!D55/IS!D4</f>
        <v>0</v>
      </c>
      <c r="E41" s="115">
        <f>BS!E55/IS!E4</f>
        <v>0</v>
      </c>
      <c r="F41" s="77">
        <f t="shared" si="13"/>
        <v>0</v>
      </c>
      <c r="G41" s="77">
        <f t="shared" si="13"/>
        <v>0</v>
      </c>
      <c r="H41" s="77">
        <f t="shared" si="13"/>
        <v>0</v>
      </c>
      <c r="I41" s="77">
        <f t="shared" si="13"/>
        <v>0</v>
      </c>
      <c r="J41" s="77">
        <f t="shared" si="13"/>
        <v>0</v>
      </c>
      <c r="K41" s="106"/>
      <c r="L41" s="106"/>
      <c r="M41" s="125"/>
      <c r="N41" s="106"/>
      <c r="O41" s="106"/>
      <c r="P41" s="106"/>
    </row>
    <row r="42" spans="2:16" ht="14.5">
      <c r="B42" s="1" t="s">
        <v>351</v>
      </c>
      <c r="C42" s="115">
        <f>BS!C56/IS!C4</f>
        <v>6.9654421559966512E-2</v>
      </c>
      <c r="D42" s="115">
        <f>BS!D56/IS!D4</f>
        <v>8.0877453159916041E-2</v>
      </c>
      <c r="E42" s="115">
        <f>BS!E56/IS!E4</f>
        <v>0.11175912432588068</v>
      </c>
      <c r="F42" s="114">
        <f t="shared" si="13"/>
        <v>0.11175912432588068</v>
      </c>
      <c r="G42" s="114">
        <f t="shared" si="13"/>
        <v>0.11175912432588068</v>
      </c>
      <c r="H42" s="114">
        <f t="shared" si="13"/>
        <v>0.11175912432588068</v>
      </c>
      <c r="I42" s="114">
        <f t="shared" si="13"/>
        <v>0.11175912432588068</v>
      </c>
      <c r="J42" s="114">
        <f t="shared" si="13"/>
        <v>0.11175912432588068</v>
      </c>
      <c r="K42" s="106"/>
      <c r="L42" s="126" t="s">
        <v>489</v>
      </c>
      <c r="M42" s="125"/>
      <c r="N42" s="106"/>
      <c r="O42" s="106"/>
      <c r="P42" s="106"/>
    </row>
    <row r="43" spans="2:16" ht="14.5">
      <c r="B43" s="1" t="s">
        <v>352</v>
      </c>
      <c r="C43" s="115">
        <f>BS!C57/IS!C4</f>
        <v>2.1945339542661285E-2</v>
      </c>
      <c r="D43" s="115">
        <f>BS!D57/IS!D4</f>
        <v>2.0688573336784023E-2</v>
      </c>
      <c r="E43" s="115">
        <f>BS!E57/IS!E4</f>
        <v>2.4286304506866026E-2</v>
      </c>
      <c r="F43" s="77">
        <f>E43</f>
        <v>2.4286304506866026E-2</v>
      </c>
      <c r="G43" s="77">
        <f t="shared" si="13"/>
        <v>2.4286304506866026E-2</v>
      </c>
      <c r="H43" s="77">
        <f t="shared" si="13"/>
        <v>2.4286304506866026E-2</v>
      </c>
      <c r="I43" s="77">
        <f t="shared" si="13"/>
        <v>2.4286304506866026E-2</v>
      </c>
      <c r="J43" s="77">
        <f t="shared" si="13"/>
        <v>2.4286304506866026E-2</v>
      </c>
      <c r="K43" s="106"/>
      <c r="L43" s="106" t="s">
        <v>353</v>
      </c>
      <c r="M43" s="125"/>
      <c r="N43" s="106"/>
      <c r="O43" s="106"/>
      <c r="P43" s="106"/>
    </row>
    <row r="45" spans="2:16" ht="14.5">
      <c r="B45" s="116" t="s">
        <v>354</v>
      </c>
      <c r="C45" s="117"/>
      <c r="D45" s="117"/>
      <c r="E45" s="117"/>
      <c r="F45" s="117"/>
      <c r="G45" s="117"/>
      <c r="H45" s="117"/>
      <c r="I45" s="117"/>
      <c r="J45" s="117"/>
      <c r="K45" s="106"/>
      <c r="L45" s="106"/>
      <c r="M45" s="106"/>
    </row>
    <row r="46" spans="2:16" ht="13">
      <c r="B46" s="56"/>
      <c r="C46" s="118"/>
      <c r="D46" s="118"/>
      <c r="E46" s="118"/>
      <c r="F46" s="118"/>
      <c r="G46" s="118"/>
      <c r="H46" s="118"/>
      <c r="I46" s="118"/>
      <c r="J46" s="118"/>
      <c r="K46" s="106"/>
      <c r="L46" s="106"/>
      <c r="M46" s="106"/>
    </row>
    <row r="47" spans="2:16" ht="14.5">
      <c r="B47" s="56" t="s">
        <v>355</v>
      </c>
      <c r="C47" s="120"/>
      <c r="D47" s="120"/>
      <c r="E47" s="120"/>
      <c r="F47" s="120"/>
      <c r="G47" s="120"/>
      <c r="H47" s="120"/>
      <c r="I47" s="120"/>
      <c r="J47" s="120"/>
      <c r="K47" s="106"/>
      <c r="L47" s="106"/>
      <c r="M47" s="106"/>
    </row>
    <row r="48" spans="2:16" ht="14.5">
      <c r="B48" s="1" t="s">
        <v>356</v>
      </c>
      <c r="C48" s="121">
        <v>3.3500000000000002E-2</v>
      </c>
      <c r="D48" s="120"/>
      <c r="E48" s="120"/>
      <c r="F48" s="120"/>
      <c r="G48" s="120"/>
      <c r="H48" s="120"/>
      <c r="I48" s="120"/>
      <c r="J48" s="120"/>
      <c r="K48" s="106"/>
      <c r="L48" s="176" t="s">
        <v>490</v>
      </c>
      <c r="M48" s="106"/>
    </row>
    <row r="49" spans="2:13" ht="14.5">
      <c r="B49" s="1" t="s">
        <v>357</v>
      </c>
      <c r="C49" s="120"/>
      <c r="D49" s="120"/>
      <c r="E49" s="120">
        <f>BS!D50</f>
        <v>5246.95</v>
      </c>
      <c r="F49" s="120">
        <f>E51</f>
        <v>8908.14</v>
      </c>
      <c r="G49" s="120">
        <f>F51</f>
        <v>8908.14</v>
      </c>
      <c r="H49" s="120">
        <f>G51</f>
        <v>8908.14</v>
      </c>
      <c r="I49" s="120">
        <f>H51</f>
        <v>8908.14</v>
      </c>
      <c r="J49" s="120">
        <f>I51</f>
        <v>8908.14</v>
      </c>
      <c r="K49" s="106"/>
      <c r="L49" s="106"/>
      <c r="M49" s="106"/>
    </row>
    <row r="50" spans="2:13" ht="14.5">
      <c r="B50" s="1" t="s">
        <v>358</v>
      </c>
      <c r="C50" s="120"/>
      <c r="D50" s="120"/>
      <c r="E50" s="120">
        <f>E51-E49</f>
        <v>3661.1899999999996</v>
      </c>
      <c r="F50" s="107">
        <v>0</v>
      </c>
      <c r="G50" s="107">
        <f>F50</f>
        <v>0</v>
      </c>
      <c r="H50" s="107">
        <v>0</v>
      </c>
      <c r="I50" s="107">
        <f>H50</f>
        <v>0</v>
      </c>
      <c r="J50" s="107">
        <f>I50</f>
        <v>0</v>
      </c>
      <c r="K50" s="106"/>
      <c r="L50" s="106" t="s">
        <v>359</v>
      </c>
      <c r="M50" s="106"/>
    </row>
    <row r="51" spans="2:13" ht="14.5">
      <c r="B51" s="122" t="s">
        <v>360</v>
      </c>
      <c r="C51" s="123"/>
      <c r="D51" s="123"/>
      <c r="E51" s="123">
        <f>BS!E50</f>
        <v>8908.14</v>
      </c>
      <c r="F51" s="123">
        <f>F49+F50</f>
        <v>8908.14</v>
      </c>
      <c r="G51" s="123">
        <f>G49+G50</f>
        <v>8908.14</v>
      </c>
      <c r="H51" s="123">
        <f>H49+H50</f>
        <v>8908.14</v>
      </c>
      <c r="I51" s="123">
        <f>I49+I50</f>
        <v>8908.14</v>
      </c>
      <c r="J51" s="123">
        <f>J49+J50</f>
        <v>8908.14</v>
      </c>
      <c r="K51" s="106"/>
      <c r="L51" s="106"/>
      <c r="M51" s="106"/>
    </row>
    <row r="52" spans="2:13" ht="14.5">
      <c r="B52" s="1" t="s">
        <v>361</v>
      </c>
      <c r="C52" s="120"/>
      <c r="D52" s="120"/>
      <c r="E52" s="120">
        <f t="shared" ref="E52:J52" si="14">-AVERAGE(E49,E51)*$C$48</f>
        <v>-237.09775750000003</v>
      </c>
      <c r="F52" s="120">
        <f t="shared" si="14"/>
        <v>-298.42268999999999</v>
      </c>
      <c r="G52" s="120">
        <f t="shared" si="14"/>
        <v>-298.42268999999999</v>
      </c>
      <c r="H52" s="120">
        <f t="shared" si="14"/>
        <v>-298.42268999999999</v>
      </c>
      <c r="I52" s="120">
        <f t="shared" si="14"/>
        <v>-298.42268999999999</v>
      </c>
      <c r="J52" s="120">
        <f t="shared" si="14"/>
        <v>-298.42268999999999</v>
      </c>
      <c r="K52" s="106"/>
      <c r="L52" s="106"/>
      <c r="M52" s="106"/>
    </row>
    <row r="53" spans="2:13">
      <c r="C53" s="120"/>
      <c r="D53" s="120"/>
      <c r="E53" s="120"/>
      <c r="F53" s="120"/>
      <c r="G53" s="120"/>
      <c r="H53" s="120"/>
      <c r="I53" s="120"/>
      <c r="J53" s="120"/>
      <c r="K53" s="106"/>
      <c r="L53" s="106"/>
      <c r="M53" s="106"/>
    </row>
    <row r="54" spans="2:13" ht="14.5">
      <c r="B54" s="56" t="s">
        <v>362</v>
      </c>
      <c r="C54" s="120"/>
      <c r="D54" s="120"/>
      <c r="E54" s="120"/>
      <c r="F54" s="120"/>
      <c r="G54" s="120"/>
      <c r="H54" s="120"/>
      <c r="I54" s="120"/>
      <c r="J54" s="120"/>
      <c r="K54" s="106"/>
      <c r="L54" s="106"/>
      <c r="M54" s="106"/>
    </row>
    <row r="55" spans="2:13" ht="14.5">
      <c r="B55" s="1" t="s">
        <v>356</v>
      </c>
      <c r="C55" s="121">
        <v>3.85E-2</v>
      </c>
      <c r="D55" s="120"/>
      <c r="E55" s="120"/>
      <c r="F55" s="120"/>
      <c r="G55" s="120"/>
      <c r="H55" s="120"/>
      <c r="I55" s="120"/>
      <c r="J55" s="120"/>
      <c r="K55" s="106"/>
      <c r="L55" s="106">
        <f>FCFF估值!E75</f>
        <v>0</v>
      </c>
      <c r="M55" s="106"/>
    </row>
    <row r="56" spans="2:13" ht="14.5">
      <c r="B56" s="1" t="s">
        <v>363</v>
      </c>
      <c r="C56" s="120"/>
      <c r="D56" s="120"/>
      <c r="E56" s="120">
        <f>BS!D66</f>
        <v>50685.95</v>
      </c>
      <c r="F56" s="120">
        <f>E59</f>
        <v>46138.74</v>
      </c>
      <c r="G56" s="120">
        <f>F59</f>
        <v>46138.74</v>
      </c>
      <c r="H56" s="120">
        <f>G59</f>
        <v>46138.74</v>
      </c>
      <c r="I56" s="120">
        <f>H59</f>
        <v>46138.74</v>
      </c>
      <c r="J56" s="120">
        <f>I59</f>
        <v>46138.74</v>
      </c>
      <c r="K56" s="106"/>
      <c r="L56" s="106"/>
      <c r="M56" s="106"/>
    </row>
    <row r="57" spans="2:13" ht="14.5">
      <c r="B57" s="1" t="s">
        <v>364</v>
      </c>
      <c r="C57" s="120"/>
      <c r="D57" s="120"/>
      <c r="E57" s="120">
        <f>E59-E56</f>
        <v>-4547.2099999999991</v>
      </c>
      <c r="F57" s="120">
        <f>F62*F63</f>
        <v>0</v>
      </c>
      <c r="G57" s="120">
        <f>G62*G63</f>
        <v>0</v>
      </c>
      <c r="H57" s="120">
        <f>H62*H63</f>
        <v>0</v>
      </c>
      <c r="I57" s="120">
        <f>I62*I63</f>
        <v>0</v>
      </c>
      <c r="J57" s="120">
        <f>J62*J63</f>
        <v>0</v>
      </c>
      <c r="K57" s="106"/>
      <c r="L57" s="106"/>
      <c r="M57" s="106"/>
    </row>
    <row r="58" spans="2:13" ht="14.5">
      <c r="B58" s="1" t="s">
        <v>365</v>
      </c>
      <c r="C58" s="120"/>
      <c r="D58" s="120"/>
      <c r="E58" s="120"/>
      <c r="F58" s="124">
        <v>0</v>
      </c>
      <c r="G58" s="124">
        <v>0</v>
      </c>
      <c r="H58" s="124">
        <v>0</v>
      </c>
      <c r="I58" s="124">
        <v>0</v>
      </c>
      <c r="J58" s="124">
        <v>0</v>
      </c>
      <c r="K58" s="106"/>
      <c r="L58" s="106" t="s">
        <v>359</v>
      </c>
      <c r="M58" s="106"/>
    </row>
    <row r="59" spans="2:13" ht="14.5">
      <c r="B59" s="122" t="s">
        <v>366</v>
      </c>
      <c r="C59" s="123"/>
      <c r="D59" s="123"/>
      <c r="E59" s="123">
        <f>BS!E66</f>
        <v>46138.74</v>
      </c>
      <c r="F59" s="123">
        <f>SUM(F56:F58)</f>
        <v>46138.74</v>
      </c>
      <c r="G59" s="123">
        <f>SUM(G56:G58)</f>
        <v>46138.74</v>
      </c>
      <c r="H59" s="123">
        <f>SUM(H56:H58)</f>
        <v>46138.74</v>
      </c>
      <c r="I59" s="123">
        <f>SUM(I56:I58)</f>
        <v>46138.74</v>
      </c>
      <c r="J59" s="123">
        <f>SUM(J56:J58)</f>
        <v>46138.74</v>
      </c>
      <c r="K59" s="106"/>
      <c r="L59" s="106"/>
      <c r="M59" s="106"/>
    </row>
    <row r="60" spans="2:13" ht="14.5">
      <c r="B60" s="1" t="s">
        <v>367</v>
      </c>
      <c r="C60" s="120"/>
      <c r="D60" s="120"/>
      <c r="E60" s="120">
        <f t="shared" ref="E60:J60" si="15">-AVERAGE(E56,E59)*$C$55</f>
        <v>-1863.8752824999999</v>
      </c>
      <c r="F60" s="120">
        <f t="shared" si="15"/>
        <v>-1776.3414899999998</v>
      </c>
      <c r="G60" s="120">
        <f t="shared" si="15"/>
        <v>-1776.3414899999998</v>
      </c>
      <c r="H60" s="120">
        <f t="shared" si="15"/>
        <v>-1776.3414899999998</v>
      </c>
      <c r="I60" s="120">
        <f t="shared" si="15"/>
        <v>-1776.3414899999998</v>
      </c>
      <c r="J60" s="120">
        <f t="shared" si="15"/>
        <v>-1776.3414899999998</v>
      </c>
      <c r="K60" s="106"/>
      <c r="L60" s="106"/>
      <c r="M60" s="106"/>
    </row>
    <row r="61" spans="2:13">
      <c r="C61" s="120"/>
      <c r="D61" s="120"/>
      <c r="E61" s="120"/>
      <c r="F61" s="120"/>
      <c r="G61" s="120"/>
      <c r="H61" s="120"/>
      <c r="I61" s="120"/>
      <c r="J61" s="120"/>
      <c r="K61" s="106"/>
      <c r="L61" s="106"/>
      <c r="M61" s="106"/>
    </row>
    <row r="62" spans="2:13">
      <c r="B62" s="1" t="s">
        <v>368</v>
      </c>
      <c r="C62" s="120"/>
      <c r="D62" s="120"/>
      <c r="E62" s="120"/>
      <c r="F62" s="120">
        <f>DA!F41+DA!F43+DA!F68+DA!F132+DA!F133+DA!F158+DA!F173+DA!F95+DA!F96</f>
        <v>7984.2077232022457</v>
      </c>
      <c r="G62" s="120">
        <f>DA!G41+DA!G43+DA!G68+DA!G132+DA!G133+DA!G158+DA!G173+DA!G95+DA!G96</f>
        <v>8417.0706451890219</v>
      </c>
      <c r="H62" s="120">
        <f>DA!H41+DA!H43+DA!H68+DA!H132+DA!H133+DA!H158+DA!H173+DA!H95+DA!H96</f>
        <v>8474.6094019583852</v>
      </c>
      <c r="I62" s="120">
        <f>DA!I41+DA!I43+DA!I68+DA!I132+DA!I133+DA!I158+DA!I173+DA!I95+DA!I96</f>
        <v>8547.3579288934252</v>
      </c>
      <c r="J62" s="120">
        <f>DA!J41+DA!J43+DA!J68+DA!J132+DA!J133+DA!J158+DA!J173+DA!J95+DA!J96</f>
        <v>8795.6615693342537</v>
      </c>
      <c r="K62" s="106"/>
      <c r="L62" s="106"/>
      <c r="M62" s="106"/>
    </row>
    <row r="63" spans="2:13" ht="14.5">
      <c r="B63" s="1" t="s">
        <v>369</v>
      </c>
      <c r="C63" s="120"/>
      <c r="D63" s="120"/>
      <c r="E63" s="120"/>
      <c r="F63" s="121">
        <v>0</v>
      </c>
      <c r="G63" s="121">
        <f>F63</f>
        <v>0</v>
      </c>
      <c r="H63" s="121">
        <f>G63</f>
        <v>0</v>
      </c>
      <c r="I63" s="121">
        <f>H63</f>
        <v>0</v>
      </c>
      <c r="J63" s="121">
        <f>I63</f>
        <v>0</v>
      </c>
      <c r="K63" s="106"/>
      <c r="L63" s="106" t="s">
        <v>370</v>
      </c>
      <c r="M63" s="106"/>
    </row>
    <row r="64" spans="2:13">
      <c r="C64" s="120"/>
      <c r="D64" s="120"/>
      <c r="E64" s="120"/>
      <c r="F64" s="120"/>
      <c r="G64" s="120"/>
      <c r="H64" s="120"/>
      <c r="I64" s="120"/>
      <c r="J64" s="120"/>
      <c r="K64" s="106"/>
      <c r="L64" s="106"/>
      <c r="M64" s="106"/>
    </row>
    <row r="65" spans="2:13" ht="14.5">
      <c r="B65" s="56" t="s">
        <v>371</v>
      </c>
      <c r="C65" s="120"/>
      <c r="D65" s="120"/>
      <c r="E65" s="120"/>
      <c r="F65" s="120"/>
      <c r="G65" s="120"/>
      <c r="H65" s="120"/>
      <c r="I65" s="120"/>
      <c r="J65" s="120"/>
      <c r="K65" s="106"/>
      <c r="L65" s="106"/>
      <c r="M65" s="106"/>
    </row>
    <row r="66" spans="2:13" ht="14.5">
      <c r="B66" s="1" t="s">
        <v>356</v>
      </c>
      <c r="C66" s="121">
        <f>C55</f>
        <v>3.85E-2</v>
      </c>
      <c r="D66" s="120"/>
      <c r="E66" s="120"/>
      <c r="F66" s="120"/>
      <c r="G66" s="120"/>
      <c r="H66" s="120"/>
      <c r="I66" s="120"/>
      <c r="J66" s="120"/>
      <c r="K66" s="106"/>
      <c r="L66" s="106">
        <f>FCFF估值!E75</f>
        <v>0</v>
      </c>
      <c r="M66" s="106"/>
    </row>
    <row r="67" spans="2:13" ht="14.5">
      <c r="B67" s="1" t="s">
        <v>372</v>
      </c>
      <c r="C67" s="120"/>
      <c r="D67" s="120"/>
      <c r="E67" s="120">
        <f>BS!D68</f>
        <v>1507.48</v>
      </c>
      <c r="F67" s="120">
        <f>E69</f>
        <v>2047.32</v>
      </c>
      <c r="G67" s="120">
        <f>F69</f>
        <v>2047.32</v>
      </c>
      <c r="H67" s="120">
        <f>G69</f>
        <v>2047.32</v>
      </c>
      <c r="I67" s="120">
        <f>H69</f>
        <v>2047.32</v>
      </c>
      <c r="J67" s="120">
        <f>I69</f>
        <v>2047.32</v>
      </c>
      <c r="K67" s="106"/>
      <c r="L67" s="106"/>
      <c r="M67" s="106"/>
    </row>
    <row r="68" spans="2:13" ht="14.5">
      <c r="B68" s="1" t="s">
        <v>373</v>
      </c>
      <c r="C68" s="120"/>
      <c r="D68" s="120"/>
      <c r="E68" s="120">
        <f>E69-E67</f>
        <v>539.83999999999992</v>
      </c>
      <c r="F68" s="124">
        <v>0</v>
      </c>
      <c r="G68" s="124">
        <v>0</v>
      </c>
      <c r="H68" s="124">
        <v>0</v>
      </c>
      <c r="I68" s="124">
        <v>0</v>
      </c>
      <c r="J68" s="124">
        <v>0</v>
      </c>
      <c r="K68" s="106"/>
      <c r="L68" s="106"/>
      <c r="M68" s="106"/>
    </row>
    <row r="69" spans="2:13" ht="14.5">
      <c r="B69" s="122" t="s">
        <v>374</v>
      </c>
      <c r="C69" s="123"/>
      <c r="D69" s="123"/>
      <c r="E69" s="123">
        <f>BS!E68</f>
        <v>2047.32</v>
      </c>
      <c r="F69" s="123">
        <f>SUM(F67:F68)</f>
        <v>2047.32</v>
      </c>
      <c r="G69" s="123">
        <f>SUM(G67:G68)</f>
        <v>2047.32</v>
      </c>
      <c r="H69" s="123">
        <f>SUM(H67:H68)</f>
        <v>2047.32</v>
      </c>
      <c r="I69" s="123">
        <f>SUM(I67:I68)</f>
        <v>2047.32</v>
      </c>
      <c r="J69" s="123">
        <f>SUM(J67:J68)</f>
        <v>2047.32</v>
      </c>
      <c r="K69" s="106"/>
      <c r="L69" s="106"/>
      <c r="M69" s="106"/>
    </row>
    <row r="70" spans="2:13" ht="14.5">
      <c r="B70" s="1" t="s">
        <v>375</v>
      </c>
      <c r="C70" s="120"/>
      <c r="D70" s="120"/>
      <c r="E70" s="120">
        <f>-AVERAGE(E67,E69)*$C$66</f>
        <v>-68.429900000000004</v>
      </c>
      <c r="F70" s="120">
        <f>-AVERAGE(F67,F69)*$C$66</f>
        <v>-78.821820000000002</v>
      </c>
      <c r="G70" s="120">
        <f>-AVERAGE(G67,G69)*$C$66</f>
        <v>-78.821820000000002</v>
      </c>
      <c r="H70" s="120">
        <f t="shared" ref="H70:J70" si="16">-AVERAGE(H67,H69)*$C$66</f>
        <v>-78.821820000000002</v>
      </c>
      <c r="I70" s="120">
        <f t="shared" si="16"/>
        <v>-78.821820000000002</v>
      </c>
      <c r="J70" s="120">
        <f t="shared" si="16"/>
        <v>-78.821820000000002</v>
      </c>
      <c r="K70" s="106"/>
      <c r="L70" s="106"/>
      <c r="M70" s="106"/>
    </row>
    <row r="71" spans="2:13">
      <c r="C71" s="120"/>
      <c r="D71" s="120"/>
      <c r="E71" s="120"/>
      <c r="F71" s="120"/>
      <c r="G71" s="120"/>
      <c r="H71" s="120"/>
      <c r="I71" s="120"/>
      <c r="J71" s="120"/>
      <c r="K71" s="106"/>
      <c r="L71" s="106"/>
      <c r="M71" s="106"/>
    </row>
    <row r="72" spans="2:13" ht="14.5">
      <c r="B72" s="56" t="s">
        <v>376</v>
      </c>
      <c r="C72" s="120"/>
      <c r="D72" s="120"/>
      <c r="E72" s="120"/>
      <c r="F72" s="120"/>
      <c r="G72" s="120"/>
      <c r="H72" s="120"/>
      <c r="I72" s="120"/>
      <c r="J72" s="120"/>
      <c r="K72" s="106"/>
      <c r="L72" s="106"/>
      <c r="M72" s="106"/>
    </row>
    <row r="73" spans="2:13" ht="14.5">
      <c r="B73" s="1" t="s">
        <v>356</v>
      </c>
      <c r="C73" s="121">
        <f>C48</f>
        <v>3.3500000000000002E-2</v>
      </c>
      <c r="D73" s="120"/>
      <c r="E73" s="120"/>
      <c r="F73" s="120"/>
      <c r="G73" s="120"/>
      <c r="H73" s="120"/>
      <c r="I73" s="120"/>
      <c r="J73" s="120"/>
      <c r="K73" s="106"/>
      <c r="L73" s="106" t="s">
        <v>377</v>
      </c>
      <c r="M73" s="106"/>
    </row>
    <row r="74" spans="2:13" ht="14.5">
      <c r="B74" s="1" t="s">
        <v>378</v>
      </c>
      <c r="C74" s="120"/>
      <c r="D74" s="120"/>
      <c r="E74" s="120"/>
      <c r="F74" s="120">
        <f>BS!E49</f>
        <v>0</v>
      </c>
      <c r="G74" s="120">
        <f ca="1">BS!F49</f>
        <v>0</v>
      </c>
      <c r="H74" s="120">
        <f ca="1">BS!G49</f>
        <v>0</v>
      </c>
      <c r="I74" s="120">
        <f ca="1">BS!H49</f>
        <v>0</v>
      </c>
      <c r="J74" s="120">
        <f ca="1">BS!I49</f>
        <v>0</v>
      </c>
      <c r="K74" s="106"/>
      <c r="L74" s="106"/>
      <c r="M74" s="106"/>
    </row>
    <row r="75" spans="2:13" ht="14.5">
      <c r="B75" s="1" t="s">
        <v>379</v>
      </c>
      <c r="C75" s="120"/>
      <c r="D75" s="120"/>
      <c r="E75" s="120"/>
      <c r="F75" s="120">
        <f ca="1">BS!F49</f>
        <v>0</v>
      </c>
      <c r="G75" s="120">
        <f ca="1">BS!G49</f>
        <v>0</v>
      </c>
      <c r="H75" s="120">
        <f ca="1">BS!H49</f>
        <v>0</v>
      </c>
      <c r="I75" s="120">
        <f ca="1">BS!I49</f>
        <v>0</v>
      </c>
      <c r="J75" s="120">
        <f ca="1">BS!J49</f>
        <v>0</v>
      </c>
      <c r="K75" s="106"/>
      <c r="L75" s="106"/>
      <c r="M75" s="106"/>
    </row>
    <row r="76" spans="2:13" ht="14.5">
      <c r="B76" s="122" t="s">
        <v>380</v>
      </c>
      <c r="C76" s="123"/>
      <c r="D76" s="123"/>
      <c r="E76" s="123"/>
      <c r="F76" s="123">
        <f ca="1">-AVERAGE(F74,F75)*$C$73</f>
        <v>0</v>
      </c>
      <c r="G76" s="123">
        <f ca="1">-AVERAGE(G74,G75)*$C$73</f>
        <v>0</v>
      </c>
      <c r="H76" s="123">
        <f ca="1">-AVERAGE(H74,H75)*$C$73</f>
        <v>0</v>
      </c>
      <c r="I76" s="123">
        <f ca="1">-AVERAGE(I74,I75)*$C$73</f>
        <v>0</v>
      </c>
      <c r="J76" s="123">
        <f ca="1">-AVERAGE(J74,J75)*$C$73</f>
        <v>0</v>
      </c>
      <c r="K76" s="129"/>
      <c r="L76" s="106"/>
      <c r="M76" s="106"/>
    </row>
    <row r="77" spans="2:13" ht="13">
      <c r="C77" s="120"/>
      <c r="D77" s="120"/>
      <c r="E77" s="120"/>
      <c r="F77" s="120"/>
      <c r="G77" s="120"/>
      <c r="H77" s="120"/>
      <c r="I77" s="120"/>
      <c r="J77" s="120"/>
      <c r="K77" s="129"/>
      <c r="L77" s="106"/>
      <c r="M77" s="106"/>
    </row>
    <row r="78" spans="2:13" ht="14.5">
      <c r="B78" s="56" t="s">
        <v>381</v>
      </c>
      <c r="C78" s="120"/>
      <c r="D78" s="120"/>
      <c r="E78" s="120"/>
      <c r="F78" s="120"/>
      <c r="G78" s="120"/>
      <c r="H78" s="120"/>
      <c r="I78" s="120"/>
      <c r="J78" s="120"/>
      <c r="K78" s="129"/>
      <c r="L78" s="106"/>
      <c r="M78" s="106"/>
    </row>
    <row r="79" spans="2:13" ht="14.5">
      <c r="B79" s="1" t="s">
        <v>356</v>
      </c>
      <c r="C79" s="121">
        <v>1.35E-2</v>
      </c>
      <c r="D79" s="120"/>
      <c r="E79" s="120"/>
      <c r="F79" s="120"/>
      <c r="G79" s="120"/>
      <c r="H79" s="120"/>
      <c r="I79" s="120"/>
      <c r="J79" s="120"/>
      <c r="K79" s="129"/>
      <c r="L79" s="106" t="s">
        <v>382</v>
      </c>
      <c r="M79" s="106"/>
    </row>
    <row r="80" spans="2:13" ht="14.5">
      <c r="B80" s="1" t="s">
        <v>378</v>
      </c>
      <c r="C80" s="120"/>
      <c r="D80" s="120"/>
      <c r="E80" s="120"/>
      <c r="F80" s="120">
        <f>BS!E5</f>
        <v>81673.850000000006</v>
      </c>
      <c r="G80" s="120">
        <f ca="1">BS!F5</f>
        <v>101353.33966198217</v>
      </c>
      <c r="H80" s="120">
        <f ca="1">BS!G5</f>
        <v>117132.41402155896</v>
      </c>
      <c r="I80" s="120">
        <f ca="1">BS!H5</f>
        <v>134452.27521112392</v>
      </c>
      <c r="J80" s="120">
        <f ca="1">BS!I5</f>
        <v>153719.38466740627</v>
      </c>
      <c r="K80" s="106"/>
      <c r="L80" s="106"/>
      <c r="M80" s="106"/>
    </row>
    <row r="81" spans="2:13" ht="14.5">
      <c r="B81" s="1" t="s">
        <v>379</v>
      </c>
      <c r="C81" s="120"/>
      <c r="D81" s="119"/>
      <c r="E81" s="119"/>
      <c r="F81" s="119">
        <f ca="1">BS!F5</f>
        <v>101353.33966198217</v>
      </c>
      <c r="G81" s="119">
        <f ca="1">BS!G5</f>
        <v>117132.41402155896</v>
      </c>
      <c r="H81" s="119">
        <f ca="1">BS!H5</f>
        <v>134452.27521112392</v>
      </c>
      <c r="I81" s="119">
        <f ca="1">BS!I5</f>
        <v>153719.38466740627</v>
      </c>
      <c r="J81" s="119">
        <f ca="1">BS!J5</f>
        <v>175293.05122957294</v>
      </c>
      <c r="K81" s="106"/>
      <c r="L81" s="106"/>
      <c r="M81" s="106"/>
    </row>
    <row r="82" spans="2:13" ht="14.5">
      <c r="B82" s="122" t="s">
        <v>383</v>
      </c>
      <c r="C82" s="123"/>
      <c r="D82" s="123"/>
      <c r="E82" s="123"/>
      <c r="F82" s="123">
        <f ca="1">AVERAGE(F80,F81)*$C$79</f>
        <v>1235.4335302183797</v>
      </c>
      <c r="G82" s="123">
        <f ca="1">AVERAGE(G80,G81)*$C$79</f>
        <v>1474.7788373639028</v>
      </c>
      <c r="H82" s="123">
        <f ca="1">AVERAGE(H80,H81)*$C$79</f>
        <v>1698.1966523206092</v>
      </c>
      <c r="I82" s="123">
        <f ca="1">AVERAGE(I80,I81)*$C$79</f>
        <v>1945.1587041800788</v>
      </c>
      <c r="J82" s="123">
        <f ca="1">AVERAGE(J80,J81)*$C$79</f>
        <v>2220.8339423046095</v>
      </c>
      <c r="K82" s="129"/>
      <c r="L82" s="106" t="s">
        <v>384</v>
      </c>
      <c r="M82" s="106"/>
    </row>
    <row r="83" spans="2:13" ht="13">
      <c r="C83" s="120"/>
      <c r="D83" s="120"/>
      <c r="E83" s="120"/>
      <c r="F83" s="120"/>
      <c r="G83" s="120"/>
      <c r="H83" s="120"/>
      <c r="I83" s="120"/>
      <c r="J83" s="120"/>
      <c r="K83" s="129"/>
      <c r="L83" s="106"/>
      <c r="M83" s="106"/>
    </row>
    <row r="84" spans="2:13" ht="14.5">
      <c r="B84" s="56" t="s">
        <v>385</v>
      </c>
      <c r="C84" s="129"/>
      <c r="D84" s="129"/>
      <c r="E84" s="129"/>
      <c r="F84" s="129">
        <f ca="1">F52+F60+F70+F76+F82</f>
        <v>-918.15246978162008</v>
      </c>
      <c r="G84" s="129">
        <f t="shared" ref="G84:J84" ca="1" si="17">G52+G60+G70+G76+G82</f>
        <v>-678.80716263609702</v>
      </c>
      <c r="H84" s="129">
        <f t="shared" ca="1" si="17"/>
        <v>-455.38934767939054</v>
      </c>
      <c r="I84" s="129">
        <f t="shared" ca="1" si="17"/>
        <v>-208.42729581992103</v>
      </c>
      <c r="J84" s="129">
        <f t="shared" ca="1" si="17"/>
        <v>67.247942304609751</v>
      </c>
      <c r="K84" s="129"/>
      <c r="L84" s="106"/>
      <c r="M84" s="106"/>
    </row>
  </sheetData>
  <sheetProtection formatCells="0" insertHyperlinks="0" autoFilter="0"/>
  <phoneticPr fontId="40" type="noConversion"/>
  <pageMargins left="0.7" right="0.7" top="0.75" bottom="0.75" header="0.3" footer="0.3"/>
  <pageSetup paperSize="9" scale="33" orientation="portrait" horizontalDpi="300" verticalDpi="300"/>
  <colBreaks count="1" manualBreakCount="1">
    <brk id="23" max="1048575" man="1"/>
  </colBreaks>
  <ignoredErrors>
    <ignoredError sqref="G29:J2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83"/>
  <sheetViews>
    <sheetView showGridLines="0" zoomScale="82" zoomScaleNormal="82" workbookViewId="0">
      <pane xSplit="2" ySplit="2" topLeftCell="C30" activePane="bottomRight" state="frozen"/>
      <selection pane="topRight"/>
      <selection pane="bottomLeft"/>
      <selection pane="bottomRight"/>
    </sheetView>
  </sheetViews>
  <sheetFormatPr defaultColWidth="0" defaultRowHeight="12.5"/>
  <cols>
    <col min="1" max="1" width="4.19921875" style="1" customWidth="1"/>
    <col min="2" max="2" width="23.3984375" style="1" customWidth="1"/>
    <col min="3" max="3" width="13.19921875" style="60" customWidth="1"/>
    <col min="4" max="4" width="22.5" style="60" customWidth="1"/>
    <col min="5" max="10" width="13.19921875" style="60" customWidth="1"/>
    <col min="11" max="17" width="13.19921875" style="1" customWidth="1"/>
    <col min="18" max="18" width="4.19921875" style="1" customWidth="1"/>
    <col min="19" max="19" width="13.19921875" style="1" hidden="1" customWidth="1"/>
    <col min="20" max="22" width="9.19921875" style="1" hidden="1" customWidth="1"/>
    <col min="23" max="23" width="0" style="1" hidden="1" customWidth="1"/>
    <col min="24" max="16384" width="9.19921875" style="1" hidden="1"/>
  </cols>
  <sheetData>
    <row r="1" spans="2:17">
      <c r="C1" s="1"/>
      <c r="D1" s="1"/>
      <c r="E1" s="1"/>
      <c r="F1" s="1"/>
      <c r="G1" s="1"/>
      <c r="H1" s="1"/>
      <c r="I1" s="1"/>
      <c r="J1" s="1"/>
    </row>
    <row r="2" spans="2:17" ht="14.5">
      <c r="B2" s="50" t="s">
        <v>0</v>
      </c>
      <c r="C2" s="51">
        <f>Assumptions!C2</f>
        <v>2021</v>
      </c>
      <c r="D2" s="51">
        <f>Assumptions!D2</f>
        <v>2022</v>
      </c>
      <c r="E2" s="51">
        <f>Assumptions!E2</f>
        <v>2023</v>
      </c>
      <c r="F2" s="52">
        <f>Assumptions!F2</f>
        <v>2024</v>
      </c>
      <c r="G2" s="52">
        <f>Assumptions!G2</f>
        <v>2025</v>
      </c>
      <c r="H2" s="52">
        <f>Assumptions!H2</f>
        <v>2026</v>
      </c>
      <c r="I2" s="52">
        <f>Assumptions!I2</f>
        <v>2027</v>
      </c>
      <c r="J2" s="52">
        <f>Assumptions!J2</f>
        <v>2028</v>
      </c>
      <c r="K2" s="52">
        <f t="shared" ref="K2" si="0">J2+1</f>
        <v>2029</v>
      </c>
      <c r="L2" s="52">
        <f t="shared" ref="L2" si="1">K2+1</f>
        <v>2030</v>
      </c>
      <c r="M2" s="52">
        <f t="shared" ref="M2" si="2">L2+1</f>
        <v>2031</v>
      </c>
      <c r="N2" s="52">
        <f t="shared" ref="N2" si="3">M2+1</f>
        <v>2032</v>
      </c>
      <c r="O2" s="52">
        <f t="shared" ref="O2" si="4">N2+1</f>
        <v>2033</v>
      </c>
      <c r="P2" s="52">
        <f t="shared" ref="P2" si="5">O2+1</f>
        <v>2034</v>
      </c>
      <c r="Q2" s="52">
        <f t="shared" ref="Q2" si="6">P2+1</f>
        <v>2035</v>
      </c>
    </row>
    <row r="3" spans="2:17">
      <c r="C3" s="1"/>
      <c r="D3" s="1"/>
      <c r="E3" s="1"/>
      <c r="F3" s="1"/>
      <c r="G3" s="1"/>
      <c r="H3" s="1"/>
      <c r="I3" s="1"/>
      <c r="J3" s="1"/>
    </row>
    <row r="4" spans="2:17" ht="14.5">
      <c r="B4" s="53" t="s">
        <v>386</v>
      </c>
      <c r="C4" s="54"/>
      <c r="D4" s="54"/>
      <c r="E4" s="54"/>
      <c r="F4" s="55" t="s">
        <v>387</v>
      </c>
      <c r="G4" s="54"/>
      <c r="H4" s="54"/>
      <c r="I4" s="54"/>
      <c r="J4" s="54"/>
      <c r="K4" s="76" t="s">
        <v>388</v>
      </c>
      <c r="L4" s="76"/>
      <c r="M4" s="76"/>
      <c r="N4" s="76"/>
      <c r="O4" s="76"/>
      <c r="P4" s="76"/>
      <c r="Q4" s="76"/>
    </row>
    <row r="5" spans="2:17">
      <c r="C5" s="1"/>
      <c r="D5" s="1"/>
      <c r="E5" s="1"/>
      <c r="F5" s="1"/>
      <c r="G5" s="1"/>
      <c r="H5" s="1"/>
      <c r="I5" s="1"/>
      <c r="J5" s="1"/>
    </row>
    <row r="6" spans="2:17" ht="13">
      <c r="B6" s="56" t="s">
        <v>8</v>
      </c>
      <c r="C6" s="57"/>
      <c r="D6" s="57"/>
      <c r="E6" s="57"/>
      <c r="F6" s="57">
        <f>IS!F10</f>
        <v>40859.457305630393</v>
      </c>
      <c r="G6" s="57">
        <f>IS!G10</f>
        <v>42382.808392253632</v>
      </c>
      <c r="H6" s="57">
        <f>IS!H10</f>
        <v>44382.034710401109</v>
      </c>
      <c r="I6" s="57">
        <f>IS!I10</f>
        <v>46986.97770872921</v>
      </c>
      <c r="J6" s="57">
        <f>IS!J10</f>
        <v>50365.435848545618</v>
      </c>
    </row>
    <row r="7" spans="2:17" ht="14.5">
      <c r="B7" s="79" t="s">
        <v>389</v>
      </c>
      <c r="C7" s="80"/>
      <c r="D7" s="80"/>
      <c r="E7" s="80"/>
      <c r="F7" s="80">
        <f>-F6*Assumptions!F20</f>
        <v>-6620.4512266201436</v>
      </c>
      <c r="G7" s="80">
        <f>-G6*Assumptions!G20</f>
        <v>-6867.2795556057617</v>
      </c>
      <c r="H7" s="80">
        <f>-H6*Assumptions!H20</f>
        <v>-7191.21387101447</v>
      </c>
      <c r="I7" s="80">
        <f>-I6*Assumptions!I20</f>
        <v>-7613.2923616698117</v>
      </c>
      <c r="J7" s="80">
        <f>-J6*Assumptions!J20</f>
        <v>-8160.703384986321</v>
      </c>
    </row>
    <row r="8" spans="2:17" ht="13">
      <c r="B8" s="56" t="s">
        <v>390</v>
      </c>
      <c r="C8" s="57"/>
      <c r="D8" s="57"/>
      <c r="E8" s="57"/>
      <c r="F8" s="57">
        <f>F6+F7</f>
        <v>34239.006079010251</v>
      </c>
      <c r="G8" s="57">
        <f t="shared" ref="G8:J8" si="7">G6+G7</f>
        <v>35515.528836647871</v>
      </c>
      <c r="H8" s="57">
        <f t="shared" si="7"/>
        <v>37190.820839386637</v>
      </c>
      <c r="I8" s="57">
        <f t="shared" si="7"/>
        <v>39373.6853470594</v>
      </c>
      <c r="J8" s="57">
        <f t="shared" si="7"/>
        <v>42204.732463559296</v>
      </c>
    </row>
    <row r="10" spans="2:17" ht="14.5">
      <c r="B10" s="81" t="s">
        <v>122</v>
      </c>
      <c r="F10" s="60">
        <f>CF!F6</f>
        <v>209.30383216050865</v>
      </c>
      <c r="G10" s="60">
        <f>CF!G6</f>
        <v>226.62009709173884</v>
      </c>
      <c r="H10" s="60">
        <f>CF!H6</f>
        <v>245.05724643220537</v>
      </c>
      <c r="I10" s="60">
        <f>CF!I6</f>
        <v>264.85898437029823</v>
      </c>
      <c r="J10" s="60">
        <f>CF!J6</f>
        <v>286.32722189513117</v>
      </c>
    </row>
    <row r="11" spans="2:17" ht="14.5">
      <c r="B11" s="81" t="s">
        <v>125</v>
      </c>
      <c r="F11" s="60">
        <f>CF!F9</f>
        <v>4300.6199304023176</v>
      </c>
      <c r="G11" s="60">
        <f>CF!G9</f>
        <v>2308.1919805663056</v>
      </c>
      <c r="H11" s="60">
        <f>CF!H9</f>
        <v>2783.3762529288069</v>
      </c>
      <c r="I11" s="60">
        <f>CF!I9</f>
        <v>3366.1590760264662</v>
      </c>
      <c r="J11" s="60">
        <f>CF!J9</f>
        <v>4083.4818108014588</v>
      </c>
    </row>
    <row r="12" spans="2:17">
      <c r="B12" s="81"/>
    </row>
    <row r="13" spans="2:17" ht="14.5">
      <c r="B13" s="81" t="s">
        <v>147</v>
      </c>
      <c r="F13" s="60">
        <f>CF!F33</f>
        <v>-4912.2207082802088</v>
      </c>
      <c r="G13" s="60">
        <f>CF!G33</f>
        <v>-5188.9334528888385</v>
      </c>
      <c r="H13" s="60">
        <f>CF!H33</f>
        <v>-5188.9334528888385</v>
      </c>
      <c r="I13" s="60">
        <f>CF!I33</f>
        <v>-5188.9334528888385</v>
      </c>
      <c r="J13" s="60">
        <f>CF!J33</f>
        <v>-5188.9334528888385</v>
      </c>
    </row>
    <row r="14" spans="2:17" ht="14.5">
      <c r="B14" s="81" t="s">
        <v>148</v>
      </c>
      <c r="F14" s="60">
        <f>CF!F34</f>
        <v>0</v>
      </c>
      <c r="G14" s="60">
        <f>CF!G34</f>
        <v>0</v>
      </c>
      <c r="H14" s="60">
        <f>CF!H34</f>
        <v>0</v>
      </c>
      <c r="I14" s="60">
        <f>CF!I34</f>
        <v>0</v>
      </c>
      <c r="J14" s="60">
        <f>CF!J34</f>
        <v>0</v>
      </c>
    </row>
    <row r="15" spans="2:17" ht="14.5">
      <c r="B15" s="81" t="s">
        <v>149</v>
      </c>
      <c r="F15" s="60">
        <f>CF!F35</f>
        <v>-300</v>
      </c>
      <c r="G15" s="60">
        <f>CF!G35</f>
        <v>-300</v>
      </c>
      <c r="H15" s="60">
        <f>CF!H35</f>
        <v>-168</v>
      </c>
      <c r="I15" s="60">
        <f>CF!I35</f>
        <v>-10</v>
      </c>
      <c r="J15" s="60">
        <f>CF!J35</f>
        <v>-10</v>
      </c>
    </row>
    <row r="16" spans="2:17" ht="14.5">
      <c r="B16" s="81" t="s">
        <v>150</v>
      </c>
      <c r="F16" s="60">
        <f>CF!F36</f>
        <v>0</v>
      </c>
      <c r="G16" s="60">
        <f>CF!G36</f>
        <v>0</v>
      </c>
      <c r="H16" s="60">
        <f>CF!H36</f>
        <v>0</v>
      </c>
      <c r="I16" s="60">
        <f>CF!I36</f>
        <v>0</v>
      </c>
      <c r="J16" s="60">
        <f>CF!J36</f>
        <v>0</v>
      </c>
    </row>
    <row r="17" spans="2:17" ht="14.5">
      <c r="B17" s="81" t="s">
        <v>151</v>
      </c>
      <c r="F17" s="60">
        <f>CF!F37</f>
        <v>0</v>
      </c>
      <c r="G17" s="60">
        <f>CF!G37</f>
        <v>0</v>
      </c>
      <c r="H17" s="60">
        <f>CF!H37</f>
        <v>0</v>
      </c>
      <c r="I17" s="60">
        <f>CF!I37</f>
        <v>0</v>
      </c>
      <c r="J17" s="60">
        <f>CF!J37</f>
        <v>0</v>
      </c>
    </row>
    <row r="18" spans="2:17" ht="14.5">
      <c r="B18" s="81" t="s">
        <v>152</v>
      </c>
      <c r="F18" s="60">
        <f>CF!F38</f>
        <v>-2278.556474056883</v>
      </c>
      <c r="G18" s="60">
        <f>CF!G38</f>
        <v>-2406.9109705515621</v>
      </c>
      <c r="H18" s="60">
        <f>CF!H38</f>
        <v>-2562.7106763209895</v>
      </c>
      <c r="I18" s="60">
        <f>CF!I38</f>
        <v>-2752.3845626330835</v>
      </c>
      <c r="J18" s="60">
        <f>CF!J38</f>
        <v>-2984.0232072065105</v>
      </c>
    </row>
    <row r="19" spans="2:17" ht="14.5">
      <c r="B19" s="81" t="s">
        <v>153</v>
      </c>
      <c r="F19" s="60">
        <f>CF!F39</f>
        <v>0</v>
      </c>
      <c r="G19" s="60">
        <f>CF!G39</f>
        <v>0</v>
      </c>
      <c r="H19" s="60">
        <f>CF!H39</f>
        <v>0</v>
      </c>
      <c r="I19" s="60">
        <f>CF!I39</f>
        <v>0</v>
      </c>
      <c r="J19" s="60">
        <f>CF!J39</f>
        <v>0</v>
      </c>
    </row>
    <row r="20" spans="2:17" ht="14.5">
      <c r="B20" s="81" t="s">
        <v>154</v>
      </c>
      <c r="F20" s="60">
        <f>CF!F40</f>
        <v>-329.50221926006691</v>
      </c>
      <c r="G20" s="60">
        <f>CF!G40</f>
        <v>-348.06357243631885</v>
      </c>
      <c r="H20" s="60">
        <f>CF!H40</f>
        <v>-370.59377934389192</v>
      </c>
      <c r="I20" s="60">
        <f>CF!I40</f>
        <v>-398.02253399057457</v>
      </c>
      <c r="J20" s="60">
        <f>CF!J40</f>
        <v>-398.02253399057457</v>
      </c>
    </row>
    <row r="21" spans="2:17" ht="14.5">
      <c r="B21" s="81" t="s">
        <v>155</v>
      </c>
      <c r="F21" s="60">
        <f>CF!F41</f>
        <v>0</v>
      </c>
      <c r="G21" s="60">
        <f>CF!G41</f>
        <v>0</v>
      </c>
      <c r="H21" s="60">
        <f>CF!H41</f>
        <v>0</v>
      </c>
      <c r="I21" s="60">
        <f>CF!I41</f>
        <v>0</v>
      </c>
      <c r="J21" s="60">
        <f>CF!J41</f>
        <v>0</v>
      </c>
    </row>
    <row r="22" spans="2:17" ht="14.5">
      <c r="B22" s="81" t="s">
        <v>156</v>
      </c>
      <c r="F22" s="60">
        <f>CF!F42</f>
        <v>0</v>
      </c>
      <c r="G22" s="60">
        <f>CF!G42</f>
        <v>0</v>
      </c>
      <c r="H22" s="60">
        <f>CF!H42</f>
        <v>0</v>
      </c>
      <c r="I22" s="60">
        <f>CF!I42</f>
        <v>0</v>
      </c>
      <c r="J22" s="60">
        <f>CF!J42</f>
        <v>0</v>
      </c>
    </row>
    <row r="23" spans="2:17" ht="14.5">
      <c r="B23" s="81" t="s">
        <v>158</v>
      </c>
      <c r="F23" s="60">
        <f>CF!F44</f>
        <v>-163.92832160508664</v>
      </c>
      <c r="G23" s="60">
        <f>CF!G44</f>
        <v>-173.16264931230211</v>
      </c>
      <c r="H23" s="60">
        <f>CF!H44</f>
        <v>-184.37149340466539</v>
      </c>
      <c r="I23" s="60">
        <f>CF!I44</f>
        <v>-198.01737938092816</v>
      </c>
      <c r="J23" s="60">
        <f>CF!J44</f>
        <v>-214.68237524832975</v>
      </c>
    </row>
    <row r="25" spans="2:17" ht="13">
      <c r="B25" s="62" t="s">
        <v>391</v>
      </c>
      <c r="C25" s="63"/>
      <c r="D25" s="63"/>
      <c r="E25" s="63"/>
      <c r="F25" s="63">
        <f>F8+SUM(F10:F11)+SUM(F13:F23)</f>
        <v>30764.722118370828</v>
      </c>
      <c r="G25" s="63">
        <f>G8+SUM(G10:G11)+SUM(G13:G23)</f>
        <v>29633.270269116896</v>
      </c>
      <c r="H25" s="63">
        <f>H8+SUM(H10:H11)+SUM(H13:H23)</f>
        <v>31744.644936789264</v>
      </c>
      <c r="I25" s="63">
        <f>I8+SUM(I10:I11)+SUM(I13:I23)</f>
        <v>34457.34547856274</v>
      </c>
      <c r="J25" s="63">
        <f>J8+SUM(J10:J11)+SUM(J13:J23)</f>
        <v>37778.879926921632</v>
      </c>
      <c r="K25" s="63">
        <f>J25*(1+K26)</f>
        <v>40692.252372881005</v>
      </c>
      <c r="L25" s="63">
        <f t="shared" ref="L25:Q25" si="8">K25*(1+L26)</f>
        <v>43202.685441442052</v>
      </c>
      <c r="M25" s="63">
        <f t="shared" si="8"/>
        <v>45334.933107439865</v>
      </c>
      <c r="N25" s="63">
        <f t="shared" si="8"/>
        <v>47124.920082902827</v>
      </c>
      <c r="O25" s="63">
        <f t="shared" si="8"/>
        <v>48613.449786356359</v>
      </c>
      <c r="P25" s="63">
        <f t="shared" si="8"/>
        <v>49841.887969246214</v>
      </c>
      <c r="Q25" s="63">
        <f t="shared" si="8"/>
        <v>50849.472142890671</v>
      </c>
    </row>
    <row r="26" spans="2:17" ht="14.5">
      <c r="B26" s="56" t="s">
        <v>392</v>
      </c>
      <c r="C26" s="57"/>
      <c r="D26" s="57"/>
      <c r="E26" s="57"/>
      <c r="F26" s="57"/>
      <c r="G26" s="58">
        <f>G25/F25-1</f>
        <v>-3.6777574161097282E-2</v>
      </c>
      <c r="H26" s="58">
        <f t="shared" ref="H26:J26" si="9">H25/G25-1</f>
        <v>7.1250140416422081E-2</v>
      </c>
      <c r="I26" s="58">
        <f t="shared" si="9"/>
        <v>8.5453800071636499E-2</v>
      </c>
      <c r="J26" s="58">
        <f t="shared" si="9"/>
        <v>9.6395540696115001E-2</v>
      </c>
      <c r="K26" s="77">
        <f>J26*0.8</f>
        <v>7.7116432556892003E-2</v>
      </c>
      <c r="L26" s="77">
        <f t="shared" ref="L26:Q26" si="10">K26*0.8</f>
        <v>6.1693146045513604E-2</v>
      </c>
      <c r="M26" s="77">
        <f t="shared" si="10"/>
        <v>4.9354516836410886E-2</v>
      </c>
      <c r="N26" s="77">
        <f t="shared" si="10"/>
        <v>3.9483613469128709E-2</v>
      </c>
      <c r="O26" s="77">
        <f t="shared" si="10"/>
        <v>3.1586890775302967E-2</v>
      </c>
      <c r="P26" s="77">
        <f t="shared" si="10"/>
        <v>2.5269512620242376E-2</v>
      </c>
      <c r="Q26" s="77">
        <f t="shared" si="10"/>
        <v>2.0215610096193902E-2</v>
      </c>
    </row>
    <row r="28" spans="2:17">
      <c r="B28" s="1" t="s">
        <v>393</v>
      </c>
      <c r="C28" s="59">
        <f>C82</f>
        <v>8.0252681426692007E-2</v>
      </c>
    </row>
    <row r="29" spans="2:17" ht="14.5">
      <c r="B29" s="1" t="s">
        <v>394</v>
      </c>
      <c r="C29" s="84">
        <v>45604</v>
      </c>
    </row>
    <row r="31" spans="2:17" ht="14.5">
      <c r="B31" s="56" t="s">
        <v>395</v>
      </c>
    </row>
    <row r="32" spans="2:17" ht="14.5">
      <c r="B32" s="1" t="s">
        <v>396</v>
      </c>
      <c r="F32" s="61">
        <f>DATEDIF(C29,DATE(YEAR(C29),12,31),"d")/365/2</f>
        <v>7.260273972602739E-2</v>
      </c>
      <c r="G32" s="61">
        <f t="shared" ref="G32:J32" si="11">F32+1</f>
        <v>1.0726027397260274</v>
      </c>
      <c r="H32" s="61">
        <f t="shared" si="11"/>
        <v>2.0726027397260274</v>
      </c>
      <c r="I32" s="61">
        <f t="shared" si="11"/>
        <v>3.0726027397260274</v>
      </c>
      <c r="J32" s="61">
        <f t="shared" si="11"/>
        <v>4.0726027397260278</v>
      </c>
      <c r="K32" s="61">
        <f t="shared" ref="K32" si="12">J32+1</f>
        <v>5.0726027397260278</v>
      </c>
      <c r="L32" s="61">
        <f t="shared" ref="L32" si="13">K32+1</f>
        <v>6.0726027397260278</v>
      </c>
      <c r="M32" s="61">
        <f t="shared" ref="M32" si="14">L32+1</f>
        <v>7.0726027397260278</v>
      </c>
      <c r="N32" s="61">
        <f t="shared" ref="N32" si="15">M32+1</f>
        <v>8.0726027397260278</v>
      </c>
      <c r="O32" s="61">
        <f t="shared" ref="O32" si="16">N32+1</f>
        <v>9.0726027397260278</v>
      </c>
      <c r="P32" s="61">
        <f t="shared" ref="P32" si="17">O32+1</f>
        <v>10.072602739726028</v>
      </c>
      <c r="Q32" s="61">
        <f t="shared" ref="Q32" si="18">P32+1</f>
        <v>11.072602739726028</v>
      </c>
    </row>
    <row r="33" spans="2:17" ht="14.5">
      <c r="B33" s="1" t="s">
        <v>397</v>
      </c>
      <c r="F33" s="61">
        <f t="shared" ref="F33:G33" si="19">1/(1+$C$28)^F32</f>
        <v>0.99441110938526789</v>
      </c>
      <c r="G33" s="61">
        <f t="shared" si="19"/>
        <v>0.92053565474324672</v>
      </c>
      <c r="H33" s="61">
        <f t="shared" ref="H33:J33" si="20">1/(1+$C$28)^H32</f>
        <v>0.85214845616258361</v>
      </c>
      <c r="I33" s="61">
        <f t="shared" si="20"/>
        <v>0.78884178749470857</v>
      </c>
      <c r="J33" s="61">
        <f t="shared" si="20"/>
        <v>0.73023821283450407</v>
      </c>
      <c r="K33" s="61">
        <f t="shared" ref="K33:Q33" si="21">1/(1+$C$28)^K32</f>
        <v>0.67598833623821886</v>
      </c>
      <c r="L33" s="61">
        <f t="shared" si="21"/>
        <v>0.62576871861631456</v>
      </c>
      <c r="M33" s="61">
        <f t="shared" si="21"/>
        <v>0.57927994938171368</v>
      </c>
      <c r="N33" s="61">
        <f t="shared" si="21"/>
        <v>0.53624486135656468</v>
      </c>
      <c r="O33" s="61">
        <f t="shared" si="21"/>
        <v>0.49640687829475694</v>
      </c>
      <c r="P33" s="61">
        <f t="shared" si="21"/>
        <v>0.45952848516807326</v>
      </c>
      <c r="Q33" s="61">
        <f t="shared" si="21"/>
        <v>0.42538981209578947</v>
      </c>
    </row>
    <row r="34" spans="2:17" ht="14.5">
      <c r="B34" s="62" t="s">
        <v>398</v>
      </c>
      <c r="C34" s="63"/>
      <c r="D34" s="63"/>
      <c r="E34" s="63"/>
      <c r="F34" s="63">
        <f>F25*F33</f>
        <v>30592.781451658622</v>
      </c>
      <c r="G34" s="63">
        <f>G25*G33</f>
        <v>27278.481849365107</v>
      </c>
      <c r="H34" s="63">
        <f t="shared" ref="H34:J34" si="22">H25*H33</f>
        <v>27051.150174314349</v>
      </c>
      <c r="I34" s="63">
        <f t="shared" si="22"/>
        <v>27181.393999632146</v>
      </c>
      <c r="J34" s="63">
        <f t="shared" si="22"/>
        <v>27587.581760724574</v>
      </c>
      <c r="K34" s="63">
        <f t="shared" ref="K34:Q34" si="23">K25*K33</f>
        <v>27507.487979329544</v>
      </c>
      <c r="L34" s="63">
        <f t="shared" si="23"/>
        <v>27034.889109474901</v>
      </c>
      <c r="M34" s="63">
        <f t="shared" si="23"/>
        <v>26261.61775570114</v>
      </c>
      <c r="N34" s="63">
        <f t="shared" si="23"/>
        <v>25270.496236295417</v>
      </c>
      <c r="O34" s="63">
        <f t="shared" si="23"/>
        <v>24132.050851584077</v>
      </c>
      <c r="P34" s="63">
        <f t="shared" si="23"/>
        <v>22903.767276424529</v>
      </c>
      <c r="Q34" s="63">
        <f t="shared" si="23"/>
        <v>21630.847400034345</v>
      </c>
    </row>
    <row r="36" spans="2:17" ht="14.5">
      <c r="B36" s="1" t="s">
        <v>399</v>
      </c>
      <c r="J36" s="1"/>
      <c r="Q36" s="1">
        <v>0.02</v>
      </c>
    </row>
    <row r="37" spans="2:17" ht="14.5">
      <c r="B37" s="1" t="s">
        <v>400</v>
      </c>
      <c r="J37" s="1"/>
      <c r="Q37" s="1">
        <f>Q25*(1+Q36)/($C$28-Q36)</f>
        <v>860815.82358875044</v>
      </c>
    </row>
    <row r="38" spans="2:17" ht="14.5">
      <c r="B38" s="1" t="s">
        <v>396</v>
      </c>
      <c r="J38" s="1"/>
      <c r="Q38" s="83">
        <f>Q32+F32</f>
        <v>11.145205479452056</v>
      </c>
    </row>
    <row r="39" spans="2:17" ht="14.5">
      <c r="B39" s="1" t="s">
        <v>397</v>
      </c>
      <c r="J39" s="1"/>
      <c r="Q39" s="1">
        <f>1/(1+$C$28)^Q38</f>
        <v>0.42301235496736461</v>
      </c>
    </row>
    <row r="40" spans="2:17" ht="14.5">
      <c r="B40" s="62" t="s">
        <v>401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>
        <f>Q37*Q39</f>
        <v>364135.72872944881</v>
      </c>
    </row>
    <row r="42" spans="2:17" ht="14.5">
      <c r="B42" s="62" t="s">
        <v>402</v>
      </c>
      <c r="C42" s="63"/>
      <c r="D42" s="63"/>
      <c r="E42" s="63"/>
      <c r="F42" s="63">
        <f>SUM(F34:Q34)+AVERAGE(Q40)</f>
        <v>678568.27457398758</v>
      </c>
      <c r="G42" s="1"/>
    </row>
    <row r="43" spans="2:17">
      <c r="G43" s="1"/>
    </row>
    <row r="44" spans="2:17" ht="14.5">
      <c r="B44" s="1" t="s">
        <v>403</v>
      </c>
      <c r="F44" s="60">
        <f>SUM(BS!E6:E7,BS!E22:E27,BS!E29:E32)-SUM(BS!E51:E52)</f>
        <v>22836.280000000002</v>
      </c>
      <c r="H44" s="1" t="s">
        <v>404</v>
      </c>
    </row>
    <row r="45" spans="2:17" ht="14.5">
      <c r="B45" s="1" t="s">
        <v>405</v>
      </c>
      <c r="F45" s="85">
        <v>1</v>
      </c>
      <c r="G45" s="1"/>
      <c r="H45" s="1" t="s">
        <v>406</v>
      </c>
    </row>
    <row r="46" spans="2:17" ht="14.5">
      <c r="B46" s="56" t="s">
        <v>407</v>
      </c>
      <c r="C46" s="57"/>
      <c r="D46" s="57"/>
      <c r="E46" s="57"/>
      <c r="F46" s="57">
        <f>F44*F45</f>
        <v>22836.280000000002</v>
      </c>
      <c r="G46" s="1"/>
      <c r="H46" s="1"/>
    </row>
    <row r="47" spans="2:17">
      <c r="H47" s="1"/>
    </row>
    <row r="48" spans="2:17" ht="14.5">
      <c r="B48" s="56" t="s">
        <v>408</v>
      </c>
      <c r="C48" s="57"/>
      <c r="D48" s="57"/>
      <c r="E48" s="57"/>
      <c r="F48" s="57">
        <f>BS!E5</f>
        <v>81673.850000000006</v>
      </c>
      <c r="G48" s="1"/>
      <c r="H48" s="1"/>
    </row>
    <row r="49" spans="2:17" ht="14.5">
      <c r="B49" s="56" t="s">
        <v>409</v>
      </c>
      <c r="C49" s="57"/>
      <c r="D49" s="57"/>
      <c r="E49" s="57"/>
      <c r="F49" s="57">
        <f>BS!E49+BS!E50+BS!E60+BS!E61+BS!E66+BS!E67+BS!E68</f>
        <v>74769.88</v>
      </c>
      <c r="G49" s="1"/>
      <c r="H49" s="1"/>
    </row>
    <row r="50" spans="2:17">
      <c r="H50" s="1"/>
    </row>
    <row r="51" spans="2:17" ht="14.5">
      <c r="B51" s="1" t="s">
        <v>410</v>
      </c>
      <c r="F51" s="60">
        <f>BS!E88</f>
        <v>11420.82</v>
      </c>
      <c r="G51" s="1"/>
      <c r="H51" s="1"/>
    </row>
    <row r="52" spans="2:17" ht="14.5">
      <c r="B52" s="1" t="s">
        <v>411</v>
      </c>
      <c r="F52" s="85">
        <v>3.2212000000000001</v>
      </c>
      <c r="G52" s="1"/>
      <c r="H52" s="1" t="s">
        <v>412</v>
      </c>
    </row>
    <row r="53" spans="2:17" ht="14.5">
      <c r="B53" s="56" t="s">
        <v>413</v>
      </c>
      <c r="C53" s="57"/>
      <c r="D53" s="57"/>
      <c r="E53" s="57"/>
      <c r="F53" s="57">
        <f>F51*F52</f>
        <v>36788.745384000002</v>
      </c>
      <c r="G53" s="1"/>
    </row>
    <row r="54" spans="2:17">
      <c r="G54" s="1"/>
    </row>
    <row r="55" spans="2:17" ht="14.5">
      <c r="B55" s="62" t="s">
        <v>414</v>
      </c>
      <c r="C55" s="63"/>
      <c r="D55" s="63"/>
      <c r="E55" s="63"/>
      <c r="F55" s="63">
        <f>F42+F46+F48-F49-F53</f>
        <v>671519.77918998757</v>
      </c>
      <c r="G55" s="1"/>
      <c r="H55" s="64"/>
    </row>
    <row r="56" spans="2:17" ht="14.5">
      <c r="B56" s="56" t="s">
        <v>415</v>
      </c>
      <c r="C56" s="57"/>
      <c r="D56" s="57"/>
      <c r="E56" s="57"/>
      <c r="F56" s="86">
        <v>7004.8245829999996</v>
      </c>
      <c r="G56" s="1"/>
      <c r="H56" s="87"/>
    </row>
    <row r="57" spans="2:17" ht="14.5">
      <c r="B57" s="56" t="s">
        <v>416</v>
      </c>
      <c r="C57" s="57"/>
      <c r="D57" s="57"/>
      <c r="E57" s="57"/>
      <c r="F57" s="57">
        <f>F55/F56</f>
        <v>95.865324139550637</v>
      </c>
      <c r="G57" s="1"/>
      <c r="H57" s="64"/>
    </row>
    <row r="58" spans="2:17" ht="13">
      <c r="B58" s="56"/>
      <c r="C58" s="57"/>
      <c r="D58" s="57"/>
      <c r="E58" s="57"/>
      <c r="F58" s="57"/>
      <c r="G58" s="1"/>
    </row>
    <row r="59" spans="2:17" ht="14.5">
      <c r="B59" s="56" t="s">
        <v>417</v>
      </c>
      <c r="C59" s="65"/>
      <c r="D59" s="57"/>
      <c r="E59" s="57"/>
      <c r="F59" s="57"/>
      <c r="G59" s="56"/>
      <c r="H59" s="57"/>
      <c r="I59" s="57"/>
      <c r="J59" s="57"/>
      <c r="O59" s="88"/>
      <c r="P59" s="88"/>
      <c r="Q59" s="89"/>
    </row>
    <row r="60" spans="2:17" ht="14.5">
      <c r="B60" s="56"/>
      <c r="C60" s="66"/>
      <c r="F60" s="67" t="s">
        <v>399</v>
      </c>
      <c r="G60" s="1"/>
      <c r="M60" s="66"/>
    </row>
    <row r="61" spans="2:17" ht="13">
      <c r="B61" s="56"/>
      <c r="C61" s="68">
        <f>F57</f>
        <v>95.865324139550637</v>
      </c>
      <c r="D61" s="59">
        <v>0.01</v>
      </c>
      <c r="E61" s="59">
        <v>1.4999999999999999E-2</v>
      </c>
      <c r="F61" s="59">
        <v>0.02</v>
      </c>
      <c r="G61" s="69">
        <v>2.5000000000000001E-2</v>
      </c>
      <c r="H61" s="69">
        <v>0.03</v>
      </c>
      <c r="I61" s="89"/>
      <c r="J61" s="89"/>
      <c r="M61" s="66"/>
    </row>
    <row r="62" spans="2:17" ht="13">
      <c r="B62" s="56"/>
      <c r="C62" s="66">
        <f>C63-0.008</f>
        <v>6.4252681426691993E-2</v>
      </c>
      <c r="D62" s="70">
        <v>122.790477670472</v>
      </c>
      <c r="E62" s="71">
        <v>130.57201077413399</v>
      </c>
      <c r="F62" s="71">
        <v>140.111975876217</v>
      </c>
      <c r="G62" s="71">
        <v>152.082339298959</v>
      </c>
      <c r="H62" s="71">
        <v>167.54742574020801</v>
      </c>
      <c r="M62" s="66"/>
    </row>
    <row r="63" spans="2:17" ht="13">
      <c r="B63" s="56"/>
      <c r="C63" s="66">
        <f>C64-0.008</f>
        <v>7.2252681426692E-2</v>
      </c>
      <c r="D63" s="72">
        <v>106.30520047901599</v>
      </c>
      <c r="E63" s="73">
        <v>111.712323105412</v>
      </c>
      <c r="F63" s="73">
        <v>118.154248631634</v>
      </c>
      <c r="G63" s="73">
        <v>125.959467273022</v>
      </c>
      <c r="H63" s="60">
        <v>135.61195770352299</v>
      </c>
      <c r="M63" s="66"/>
    </row>
    <row r="64" spans="2:17" ht="13">
      <c r="B64" s="74" t="s">
        <v>393</v>
      </c>
      <c r="C64" s="66">
        <f>C82</f>
        <v>8.0252681426692007E-2</v>
      </c>
      <c r="D64" s="72">
        <v>93.622812697150806</v>
      </c>
      <c r="E64" s="73">
        <v>97.521406344991306</v>
      </c>
      <c r="F64" s="75">
        <v>102.0670406814</v>
      </c>
      <c r="G64" s="73">
        <v>107.43537433647199</v>
      </c>
      <c r="H64" s="60">
        <v>113.871976092403</v>
      </c>
      <c r="M64" s="66"/>
    </row>
    <row r="65" spans="2:13" ht="13">
      <c r="B65" s="56"/>
      <c r="C65" s="66">
        <f>C64+0.008</f>
        <v>8.8252681426692015E-2</v>
      </c>
      <c r="D65" s="72">
        <v>83.574096328686394</v>
      </c>
      <c r="E65" s="73">
        <v>86.467021893519103</v>
      </c>
      <c r="F65" s="73">
        <v>89.783802683430295</v>
      </c>
      <c r="G65" s="73">
        <v>93.624953462897594</v>
      </c>
      <c r="H65" s="60">
        <v>98.125498914917699</v>
      </c>
    </row>
    <row r="66" spans="2:13" ht="13">
      <c r="B66" s="56"/>
      <c r="C66" s="66">
        <f>C65+0.008</f>
        <v>9.6252681426692022E-2</v>
      </c>
      <c r="D66" s="72">
        <v>75.423826998802795</v>
      </c>
      <c r="E66" s="60">
        <v>77.620566664870097</v>
      </c>
      <c r="F66" s="60">
        <v>80.105393205387699</v>
      </c>
      <c r="G66" s="60">
        <v>82.938954206246095</v>
      </c>
      <c r="H66" s="60">
        <v>86.200205217507204</v>
      </c>
    </row>
    <row r="67" spans="2:13" ht="13">
      <c r="B67" s="56"/>
      <c r="C67" s="66"/>
    </row>
    <row r="68" spans="2:13" ht="14.5">
      <c r="B68" s="90" t="s">
        <v>418</v>
      </c>
      <c r="C68" s="91"/>
      <c r="D68" s="91"/>
      <c r="E68" s="91"/>
      <c r="F68" s="91"/>
      <c r="G68" s="90"/>
      <c r="H68" s="92"/>
      <c r="I68" s="92"/>
      <c r="J68" s="92"/>
    </row>
    <row r="69" spans="2:13" ht="13">
      <c r="B69" s="56"/>
      <c r="C69" s="57"/>
      <c r="D69" s="57"/>
      <c r="E69" s="57"/>
      <c r="F69" s="57"/>
      <c r="G69" s="1"/>
    </row>
    <row r="70" spans="2:13" ht="14.5">
      <c r="B70" s="1" t="s">
        <v>419</v>
      </c>
      <c r="C70" s="78">
        <v>1.7999999999999999E-2</v>
      </c>
      <c r="D70" s="60" t="s">
        <v>420</v>
      </c>
      <c r="G70" s="1"/>
    </row>
    <row r="71" spans="2:13" ht="14.5">
      <c r="B71" s="1" t="s">
        <v>421</v>
      </c>
      <c r="C71" s="93">
        <v>0.09</v>
      </c>
      <c r="D71" s="60" t="s">
        <v>422</v>
      </c>
      <c r="G71" s="1"/>
    </row>
    <row r="72" spans="2:13" ht="14.5">
      <c r="B72" s="1" t="s">
        <v>423</v>
      </c>
      <c r="C72" s="94">
        <v>0.94</v>
      </c>
      <c r="D72" s="60" t="s">
        <v>424</v>
      </c>
      <c r="E72" s="178" t="s">
        <v>493</v>
      </c>
      <c r="G72" s="1"/>
    </row>
    <row r="73" spans="2:13" ht="14.5">
      <c r="B73" s="1" t="s">
        <v>425</v>
      </c>
      <c r="C73" s="59">
        <f>C70+C72*(C71-C70)</f>
        <v>8.5679999999999992E-2</v>
      </c>
      <c r="G73" s="1"/>
    </row>
    <row r="74" spans="2:13" ht="13">
      <c r="C74" s="59"/>
      <c r="E74" s="95"/>
      <c r="G74" s="1"/>
    </row>
    <row r="75" spans="2:13" ht="18" customHeight="1">
      <c r="B75" s="1" t="s">
        <v>426</v>
      </c>
      <c r="C75" s="93">
        <v>4.8000000000000001E-2</v>
      </c>
      <c r="D75" s="96" t="s">
        <v>427</v>
      </c>
      <c r="E75" s="97"/>
      <c r="G75" s="1"/>
    </row>
    <row r="76" spans="2:13" ht="14.5">
      <c r="B76" s="1" t="s">
        <v>428</v>
      </c>
      <c r="C76" s="59">
        <f>Assumptions!F20</f>
        <v>0.1620298374767658</v>
      </c>
      <c r="G76" s="1"/>
    </row>
    <row r="77" spans="2:13" ht="14.5">
      <c r="B77" s="1" t="s">
        <v>429</v>
      </c>
      <c r="C77" s="59">
        <f>C75*(1-C76)</f>
        <v>4.0222567801115244E-2</v>
      </c>
      <c r="G77" s="1"/>
    </row>
    <row r="78" spans="2:13">
      <c r="C78" s="59"/>
      <c r="G78" s="1"/>
    </row>
    <row r="79" spans="2:13" ht="14.5">
      <c r="B79" s="1" t="s">
        <v>430</v>
      </c>
      <c r="C79" s="98">
        <v>551478</v>
      </c>
      <c r="G79" s="1"/>
      <c r="K79" s="64"/>
      <c r="M79" s="64"/>
    </row>
    <row r="80" spans="2:13" ht="14.5">
      <c r="B80" s="1" t="s">
        <v>431</v>
      </c>
      <c r="C80" s="98">
        <f>F49</f>
        <v>74769.88</v>
      </c>
      <c r="D80" s="61"/>
      <c r="E80" s="179" t="s">
        <v>494</v>
      </c>
      <c r="G80" s="1"/>
      <c r="K80" s="64"/>
      <c r="M80" s="64"/>
    </row>
    <row r="81" spans="2:7">
      <c r="C81" s="59"/>
      <c r="G81" s="1"/>
    </row>
    <row r="82" spans="2:7" ht="13">
      <c r="B82" s="56" t="s">
        <v>393</v>
      </c>
      <c r="C82" s="66">
        <f>C79/(C79+C80)*C73+C80/(C79+C80)*C77</f>
        <v>8.0252681426692007E-2</v>
      </c>
      <c r="G82" s="1"/>
    </row>
    <row r="83" spans="2:7" ht="13">
      <c r="B83" s="56"/>
      <c r="C83" s="66"/>
      <c r="G83" s="1"/>
    </row>
  </sheetData>
  <sheetProtection formatCells="0" insertHyperlinks="0" autoFilter="0"/>
  <phoneticPr fontId="40" type="noConversion"/>
  <pageMargins left="0.25" right="0.25" top="0.75" bottom="0.75" header="0.3" footer="0.3"/>
  <pageSetup paperSize="9" scale="49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30"/>
  <sheetViews>
    <sheetView showGridLines="0" workbookViewId="0">
      <pane xSplit="3" ySplit="4" topLeftCell="G5" activePane="bottomRight" state="frozen"/>
      <selection pane="topRight"/>
      <selection pane="bottomLeft"/>
      <selection pane="bottomRight"/>
    </sheetView>
  </sheetViews>
  <sheetFormatPr defaultColWidth="0" defaultRowHeight="11.5"/>
  <cols>
    <col min="1" max="1" width="4.19921875" style="12" customWidth="1"/>
    <col min="2" max="2" width="13.3984375" style="12" customWidth="1"/>
    <col min="3" max="3" width="11.3984375" style="12" customWidth="1"/>
    <col min="4" max="10" width="23.59765625" style="13" customWidth="1"/>
    <col min="11" max="11" width="23.796875" style="12" customWidth="1"/>
    <col min="12" max="12" width="9" style="12" customWidth="1"/>
    <col min="13" max="16384" width="9" style="12" hidden="1"/>
  </cols>
  <sheetData>
    <row r="2" spans="2:11">
      <c r="B2" s="14"/>
    </row>
    <row r="3" spans="2:11" ht="14">
      <c r="G3" s="15">
        <v>1.3833</v>
      </c>
      <c r="H3" s="15">
        <v>14.738099999999999</v>
      </c>
      <c r="I3" s="15">
        <v>3.2212000000000001</v>
      </c>
      <c r="J3" s="15">
        <v>1.1688000000000001</v>
      </c>
      <c r="K3" s="15">
        <v>14.9008</v>
      </c>
    </row>
    <row r="4" spans="2:11" ht="13">
      <c r="B4" s="16" t="s">
        <v>432</v>
      </c>
      <c r="C4" s="16" t="s">
        <v>433</v>
      </c>
      <c r="D4" s="17" t="s">
        <v>434</v>
      </c>
      <c r="E4" s="17" t="s">
        <v>435</v>
      </c>
      <c r="F4" s="17" t="s">
        <v>436</v>
      </c>
      <c r="G4" s="17" t="s">
        <v>437</v>
      </c>
      <c r="H4" s="17" t="s">
        <v>438</v>
      </c>
      <c r="I4" s="17" t="s">
        <v>439</v>
      </c>
      <c r="J4" s="41" t="s">
        <v>440</v>
      </c>
      <c r="K4" s="17" t="s">
        <v>441</v>
      </c>
    </row>
    <row r="5" spans="2:11">
      <c r="B5" s="18" t="s">
        <v>442</v>
      </c>
      <c r="C5" s="18" t="s">
        <v>443</v>
      </c>
      <c r="D5" s="19">
        <v>247862.20403925001</v>
      </c>
      <c r="E5" s="19">
        <v>146722.378</v>
      </c>
      <c r="F5" s="19">
        <v>21214.823400000001</v>
      </c>
      <c r="G5" s="20">
        <v>1.2605999999999999</v>
      </c>
      <c r="H5" s="20">
        <v>8.0250000000000004</v>
      </c>
      <c r="I5" s="20">
        <v>2.0394999999999999</v>
      </c>
      <c r="J5" s="42">
        <v>0.46410000000000001</v>
      </c>
      <c r="K5" s="42">
        <v>9.7416</v>
      </c>
    </row>
    <row r="6" spans="2:11">
      <c r="B6" s="18" t="s">
        <v>444</v>
      </c>
      <c r="C6" s="18" t="s">
        <v>445</v>
      </c>
      <c r="D6" s="19">
        <v>93608.329537800004</v>
      </c>
      <c r="E6" s="19">
        <v>20562.897099999998</v>
      </c>
      <c r="F6" s="19">
        <v>2319.5232000000001</v>
      </c>
      <c r="G6" s="20">
        <v>3.5804</v>
      </c>
      <c r="H6" s="20">
        <v>30.557700000000001</v>
      </c>
      <c r="I6" s="20">
        <v>5.1294000000000004</v>
      </c>
      <c r="J6" s="42">
        <v>2.3721000000000001</v>
      </c>
      <c r="K6" s="42">
        <v>22.185099999999998</v>
      </c>
    </row>
    <row r="7" spans="2:11">
      <c r="B7" s="18" t="s">
        <v>446</v>
      </c>
      <c r="C7" s="18" t="s">
        <v>447</v>
      </c>
      <c r="D7" s="19">
        <v>12142.047993599999</v>
      </c>
      <c r="E7" s="19">
        <v>13945.388199999999</v>
      </c>
      <c r="F7" s="19">
        <v>1573.6912</v>
      </c>
      <c r="G7" s="20">
        <v>0.68279999999999996</v>
      </c>
      <c r="H7" s="20">
        <v>12.455500000000001</v>
      </c>
      <c r="I7" s="20">
        <v>7.4603000000000002</v>
      </c>
      <c r="J7" s="42">
        <v>0.1802</v>
      </c>
      <c r="K7" s="42">
        <v>7.0232000000000001</v>
      </c>
    </row>
    <row r="8" spans="2:11">
      <c r="B8" s="18" t="s">
        <v>448</v>
      </c>
      <c r="C8" s="18" t="s">
        <v>449</v>
      </c>
      <c r="D8" s="19">
        <v>8952.7903482625006</v>
      </c>
      <c r="E8" s="19">
        <v>22757.699799999999</v>
      </c>
      <c r="F8" s="19">
        <v>543.27890000000002</v>
      </c>
      <c r="G8" s="20">
        <v>0.3493</v>
      </c>
      <c r="H8" s="20">
        <v>12.5824</v>
      </c>
      <c r="I8" s="20">
        <v>1.6255999999999999</v>
      </c>
      <c r="J8" s="42">
        <v>6.4600000000000005E-2</v>
      </c>
      <c r="K8" s="42">
        <v>10.531700000000001</v>
      </c>
    </row>
    <row r="9" spans="2:11">
      <c r="B9" s="18" t="s">
        <v>450</v>
      </c>
      <c r="C9" s="18" t="s">
        <v>451</v>
      </c>
      <c r="D9" s="19">
        <v>40341.524819441001</v>
      </c>
      <c r="E9" s="19">
        <v>70579.088499999998</v>
      </c>
      <c r="F9" s="19">
        <v>4167.2223999999997</v>
      </c>
      <c r="G9" s="20">
        <v>0.4798</v>
      </c>
      <c r="H9" s="20">
        <v>13.6684</v>
      </c>
      <c r="I9" s="20">
        <v>3.0611999999999999</v>
      </c>
      <c r="J9" s="42">
        <v>0.15790000000000001</v>
      </c>
      <c r="K9" s="42">
        <v>6.7161</v>
      </c>
    </row>
    <row r="10" spans="2:11">
      <c r="B10" s="18" t="s">
        <v>452</v>
      </c>
      <c r="C10" s="18" t="s">
        <v>453</v>
      </c>
      <c r="D10" s="21">
        <v>255718.77350653001</v>
      </c>
      <c r="E10" s="22">
        <v>202971.19690000001</v>
      </c>
      <c r="F10" s="22">
        <v>15436.3128</v>
      </c>
      <c r="G10" s="23">
        <v>1.0291999999999999</v>
      </c>
      <c r="H10" s="23">
        <v>14.701499999999999</v>
      </c>
      <c r="I10" s="23">
        <v>2.5493999999999999</v>
      </c>
      <c r="J10" s="23">
        <v>1.2857000000000001</v>
      </c>
      <c r="K10" s="23">
        <v>10.923299999999999</v>
      </c>
    </row>
    <row r="11" spans="2:11" ht="12.5">
      <c r="B11" s="24"/>
      <c r="C11" s="24"/>
      <c r="D11" s="25"/>
      <c r="E11" s="25"/>
      <c r="F11" s="25"/>
      <c r="G11" s="26"/>
      <c r="H11" s="26"/>
      <c r="I11" s="26"/>
      <c r="J11" s="26"/>
      <c r="K11" s="43"/>
    </row>
    <row r="12" spans="2:11" ht="13">
      <c r="C12" s="27" t="s">
        <v>454</v>
      </c>
      <c r="D12" s="28">
        <f t="shared" ref="D12:K12" si="0">MAX(D5:D11)</f>
        <v>255718.77350653001</v>
      </c>
      <c r="E12" s="28">
        <f t="shared" si="0"/>
        <v>202971.19690000001</v>
      </c>
      <c r="F12" s="28">
        <f t="shared" si="0"/>
        <v>21214.823400000001</v>
      </c>
      <c r="G12" s="29">
        <f t="shared" si="0"/>
        <v>3.5804</v>
      </c>
      <c r="H12" s="29">
        <f t="shared" si="0"/>
        <v>30.557700000000001</v>
      </c>
      <c r="I12" s="29">
        <f t="shared" si="0"/>
        <v>7.4603000000000002</v>
      </c>
      <c r="J12" s="29">
        <f t="shared" ref="J12" si="1">MAX(J5:J11)</f>
        <v>2.3721000000000001</v>
      </c>
      <c r="K12" s="44">
        <f t="shared" si="0"/>
        <v>22.185099999999998</v>
      </c>
    </row>
    <row r="13" spans="2:11" ht="13">
      <c r="B13" s="30"/>
      <c r="C13" s="12" t="s">
        <v>455</v>
      </c>
      <c r="D13" s="31">
        <f t="shared" ref="D13:K13" si="2">MIN(D5:D11)</f>
        <v>8952.7903482625006</v>
      </c>
      <c r="E13" s="31">
        <f t="shared" si="2"/>
        <v>13945.388199999999</v>
      </c>
      <c r="F13" s="31">
        <f t="shared" si="2"/>
        <v>543.27890000000002</v>
      </c>
      <c r="G13" s="32">
        <f t="shared" si="2"/>
        <v>0.3493</v>
      </c>
      <c r="H13" s="32">
        <f t="shared" si="2"/>
        <v>8.0250000000000004</v>
      </c>
      <c r="I13" s="32">
        <f t="shared" si="2"/>
        <v>1.6255999999999999</v>
      </c>
      <c r="J13" s="32">
        <f t="shared" ref="J13" si="3">MIN(J5:J11)</f>
        <v>6.4600000000000005E-2</v>
      </c>
      <c r="K13" s="45">
        <f t="shared" si="2"/>
        <v>6.7161</v>
      </c>
    </row>
    <row r="14" spans="2:11" ht="13">
      <c r="C14" s="12" t="s">
        <v>456</v>
      </c>
      <c r="D14" s="31">
        <f t="shared" ref="D14:K14" si="4">AVERAGE(D5:D11)</f>
        <v>109770.945040814</v>
      </c>
      <c r="E14" s="31">
        <f t="shared" si="4"/>
        <v>79589.774749999997</v>
      </c>
      <c r="F14" s="31">
        <f t="shared" si="4"/>
        <v>7542.4753166666696</v>
      </c>
      <c r="G14" s="32">
        <f t="shared" si="4"/>
        <v>1.2303500000000001</v>
      </c>
      <c r="H14" s="32">
        <f t="shared" si="4"/>
        <v>15.33175</v>
      </c>
      <c r="I14" s="32">
        <f t="shared" si="4"/>
        <v>3.6442333333333301</v>
      </c>
      <c r="J14" s="32">
        <f t="shared" ref="J14" si="5">AVERAGE(J5:J11)</f>
        <v>0.75409999999999999</v>
      </c>
      <c r="K14" s="45">
        <f t="shared" si="4"/>
        <v>11.186833333333301</v>
      </c>
    </row>
    <row r="15" spans="2:11" ht="13">
      <c r="C15" s="33" t="s">
        <v>457</v>
      </c>
      <c r="D15" s="34">
        <f t="shared" ref="D15:K15" si="6">MEDIAN(D5:D11)</f>
        <v>66974.927178620506</v>
      </c>
      <c r="E15" s="34">
        <f t="shared" si="6"/>
        <v>46668.39415</v>
      </c>
      <c r="F15" s="34">
        <f t="shared" si="6"/>
        <v>3243.3728000000001</v>
      </c>
      <c r="G15" s="35">
        <f t="shared" si="6"/>
        <v>0.85599999999999998</v>
      </c>
      <c r="H15" s="35">
        <f t="shared" si="6"/>
        <v>13.125400000000001</v>
      </c>
      <c r="I15" s="35">
        <f t="shared" si="6"/>
        <v>2.8052999999999999</v>
      </c>
      <c r="J15" s="35">
        <f t="shared" ref="J15" si="7">MEDIAN(J5:J11)</f>
        <v>0.32214999999999999</v>
      </c>
      <c r="K15" s="46">
        <f t="shared" si="6"/>
        <v>10.136649999999999</v>
      </c>
    </row>
    <row r="16" spans="2:11">
      <c r="D16" s="31"/>
      <c r="E16" s="31"/>
      <c r="F16" s="31"/>
      <c r="G16" s="32"/>
      <c r="H16" s="32"/>
      <c r="I16" s="32"/>
      <c r="J16" s="32"/>
      <c r="K16" s="45"/>
    </row>
    <row r="17" spans="2:11" ht="13">
      <c r="B17" s="11" t="s">
        <v>458</v>
      </c>
      <c r="D17" s="17" t="s">
        <v>434</v>
      </c>
      <c r="E17" s="17" t="s">
        <v>459</v>
      </c>
      <c r="F17" s="17" t="s">
        <v>460</v>
      </c>
      <c r="G17" s="17" t="s">
        <v>461</v>
      </c>
      <c r="H17" s="17" t="s">
        <v>462</v>
      </c>
      <c r="I17" s="17" t="s">
        <v>463</v>
      </c>
      <c r="J17" s="47" t="s">
        <v>464</v>
      </c>
      <c r="K17" s="17" t="s">
        <v>465</v>
      </c>
    </row>
    <row r="18" spans="2:11" ht="12">
      <c r="B18" s="14" t="s">
        <v>466</v>
      </c>
      <c r="C18" s="36" t="s">
        <v>467</v>
      </c>
      <c r="D18" s="19">
        <v>551478.32344765996</v>
      </c>
      <c r="E18" s="31">
        <f>FCFF估值!F56</f>
        <v>7004.8245829999996</v>
      </c>
      <c r="F18" s="37">
        <v>70.39</v>
      </c>
      <c r="G18" s="31">
        <f>IS!E4</f>
        <v>373709.8</v>
      </c>
      <c r="H18" s="31">
        <f>IS!E26</f>
        <v>33755.160000000011</v>
      </c>
      <c r="I18" s="31">
        <f>BS!E87</f>
        <v>162878.84</v>
      </c>
      <c r="J18" s="48">
        <f>IF((IS!E24/IS!D24-1)&lt;0,0,IS!E24/IS!D24-1)</f>
        <v>0.13101919217554436</v>
      </c>
      <c r="K18" s="32">
        <f>IS!F31</f>
        <v>41068.761137790898</v>
      </c>
    </row>
    <row r="19" spans="2:11" ht="13">
      <c r="D19" s="25"/>
      <c r="E19" s="31"/>
      <c r="F19" s="37"/>
      <c r="G19" s="31"/>
      <c r="H19" s="31"/>
      <c r="I19" s="31"/>
      <c r="J19" s="31"/>
      <c r="K19" s="17" t="s">
        <v>468</v>
      </c>
    </row>
    <row r="20" spans="2:11">
      <c r="D20" s="25"/>
      <c r="E20" s="31"/>
      <c r="F20" s="37"/>
      <c r="G20" s="31"/>
      <c r="H20" s="31"/>
      <c r="I20" s="31"/>
      <c r="J20" s="31"/>
      <c r="K20" s="32">
        <f>FCFF估值!F49-FCFF估值!F48</f>
        <v>-6903.9700000000012</v>
      </c>
    </row>
    <row r="21" spans="2:11">
      <c r="D21" s="31"/>
      <c r="E21" s="12"/>
      <c r="F21" s="12"/>
      <c r="G21" s="31"/>
      <c r="H21" s="31"/>
      <c r="I21" s="31"/>
      <c r="J21" s="31"/>
      <c r="K21" s="32"/>
    </row>
    <row r="22" spans="2:11" s="11" customFormat="1" ht="13">
      <c r="B22" s="11" t="s">
        <v>469</v>
      </c>
      <c r="D22" s="38"/>
      <c r="G22" s="38" t="s">
        <v>470</v>
      </c>
      <c r="H22" s="38" t="s">
        <v>471</v>
      </c>
      <c r="I22" s="38" t="s">
        <v>472</v>
      </c>
      <c r="J22" s="38" t="s">
        <v>473</v>
      </c>
      <c r="K22" s="49" t="s">
        <v>474</v>
      </c>
    </row>
    <row r="23" spans="2:11" ht="13">
      <c r="B23" s="27"/>
      <c r="C23" s="27" t="s">
        <v>454</v>
      </c>
      <c r="D23" s="39"/>
      <c r="E23" s="39"/>
      <c r="F23" s="39"/>
      <c r="G23" s="29">
        <f t="shared" ref="G23:I26" si="8">G12*G$18/$E$18</f>
        <v>191.01557106330182</v>
      </c>
      <c r="H23" s="29">
        <f t="shared" si="8"/>
        <v>147.25280276615322</v>
      </c>
      <c r="I23" s="29">
        <f>I12*I$18/$E$18</f>
        <v>173.46972727925055</v>
      </c>
      <c r="J23" s="32">
        <f>J12*J$18*100*H$18/$E$18</f>
        <v>149.76516791692114</v>
      </c>
      <c r="K23" s="29">
        <f>(K12*K$18-$K$20)/$E$18</f>
        <v>131.0551794467406</v>
      </c>
    </row>
    <row r="24" spans="2:11" ht="13">
      <c r="C24" s="12" t="s">
        <v>455</v>
      </c>
      <c r="G24" s="32">
        <f t="shared" si="8"/>
        <v>18.635275101220905</v>
      </c>
      <c r="H24" s="32">
        <f t="shared" si="8"/>
        <v>38.671226636768459</v>
      </c>
      <c r="I24" s="32">
        <f t="shared" si="8"/>
        <v>37.79906822314782</v>
      </c>
      <c r="J24" s="32">
        <f t="shared" ref="J24:J26" si="9">J13*J$18*100*H$18/$E$18</f>
        <v>4.0785927437431422</v>
      </c>
      <c r="K24" s="32">
        <f>(K13*K$18-$K$20)/$E$18</f>
        <v>40.361592689082393</v>
      </c>
    </row>
    <row r="25" spans="2:11" ht="13">
      <c r="C25" s="12" t="s">
        <v>456</v>
      </c>
      <c r="G25" s="32">
        <f t="shared" si="8"/>
        <v>65.639595536178476</v>
      </c>
      <c r="H25" s="32">
        <f t="shared" si="8"/>
        <v>73.881318253990628</v>
      </c>
      <c r="I25" s="32">
        <f t="shared" si="8"/>
        <v>84.737096695211577</v>
      </c>
      <c r="J25" s="32">
        <f t="shared" si="9"/>
        <v>47.610940991589821</v>
      </c>
      <c r="K25" s="32">
        <f>(K14*K$18-$K$20)/$E$18</f>
        <v>66.57316689795293</v>
      </c>
    </row>
    <row r="26" spans="2:11" ht="13">
      <c r="C26" s="33" t="s">
        <v>457</v>
      </c>
      <c r="D26" s="40"/>
      <c r="E26" s="40"/>
      <c r="F26" s="40"/>
      <c r="G26" s="35">
        <f t="shared" si="8"/>
        <v>45.667894321915526</v>
      </c>
      <c r="H26" s="35">
        <f>H15*H$18/$E$18</f>
        <v>63.24926082221068</v>
      </c>
      <c r="I26" s="35">
        <f t="shared" si="8"/>
        <v>65.229900397635703</v>
      </c>
      <c r="J26" s="35">
        <f t="shared" si="9"/>
        <v>20.339298024719085</v>
      </c>
      <c r="K26" s="35">
        <f>(K15*K$18-$K$20)/$E$18</f>
        <v>60.41602078294158</v>
      </c>
    </row>
    <row r="30" spans="2:11">
      <c r="H30" s="32"/>
      <c r="I30" s="32"/>
      <c r="J30" s="32"/>
    </row>
  </sheetData>
  <sheetProtection formatCells="0" insertHyperlinks="0" autoFilter="0"/>
  <phoneticPr fontId="40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9"/>
  <sheetViews>
    <sheetView showGridLines="0" zoomScale="90" zoomScaleNormal="90" workbookViewId="0"/>
  </sheetViews>
  <sheetFormatPr defaultColWidth="0" defaultRowHeight="12.5"/>
  <cols>
    <col min="1" max="1" width="5.59765625" style="1" customWidth="1"/>
    <col min="2" max="2" width="17.3984375" style="1" customWidth="1"/>
    <col min="3" max="3" width="12" style="2" customWidth="1"/>
    <col min="4" max="4" width="9" style="2" customWidth="1"/>
    <col min="5" max="5" width="4" style="1" customWidth="1"/>
    <col min="6" max="6" width="9" style="2" customWidth="1"/>
    <col min="7" max="7" width="38.3984375" style="1" customWidth="1"/>
    <col min="8" max="8" width="9" style="1" customWidth="1"/>
    <col min="9" max="9" width="13.19921875" style="1" customWidth="1"/>
    <col min="10" max="12" width="9" style="1" customWidth="1"/>
    <col min="13" max="16384" width="9" style="1" hidden="1"/>
  </cols>
  <sheetData>
    <row r="2" spans="2:9" ht="15.5" customHeight="1">
      <c r="B2" s="3" t="s">
        <v>475</v>
      </c>
      <c r="C2" s="4" t="s">
        <v>476</v>
      </c>
      <c r="D2" s="5"/>
      <c r="E2" s="5" t="s">
        <v>477</v>
      </c>
      <c r="F2" s="5"/>
      <c r="G2" s="1" t="s">
        <v>478</v>
      </c>
      <c r="I2" s="9" t="s">
        <v>479</v>
      </c>
    </row>
    <row r="3" spans="2:9" ht="13">
      <c r="B3" s="6"/>
      <c r="C3" s="7"/>
      <c r="I3" s="9"/>
    </row>
    <row r="4" spans="2:9" ht="14.5">
      <c r="B4" s="1" t="s">
        <v>391</v>
      </c>
      <c r="C4" s="8">
        <f>FCFF估值!F57</f>
        <v>95.865324139550637</v>
      </c>
      <c r="D4" s="8">
        <f>FCFF估值!E65</f>
        <v>86.467021893519103</v>
      </c>
      <c r="E4" s="8" t="s">
        <v>480</v>
      </c>
      <c r="F4" s="8">
        <f>FCFF估值!G63</f>
        <v>125.959467273022</v>
      </c>
      <c r="G4" s="1" t="s">
        <v>481</v>
      </c>
      <c r="I4" s="10">
        <f>F4-D4</f>
        <v>39.492445379502897</v>
      </c>
    </row>
    <row r="5" spans="2:9" ht="14.5">
      <c r="B5" s="1" t="s">
        <v>482</v>
      </c>
      <c r="C5" s="8">
        <f>可比公司估值!G26</f>
        <v>45.667894321915526</v>
      </c>
      <c r="D5" s="8">
        <f>可比公司估值!G24</f>
        <v>18.635275101220905</v>
      </c>
      <c r="E5" s="8" t="s">
        <v>480</v>
      </c>
      <c r="F5" s="8">
        <f>可比公司估值!G23</f>
        <v>191.01557106330182</v>
      </c>
      <c r="G5" s="1" t="s">
        <v>483</v>
      </c>
      <c r="I5" s="10">
        <f t="shared" ref="I5:I9" si="0">F5-D5</f>
        <v>172.38029596208091</v>
      </c>
    </row>
    <row r="6" spans="2:9" ht="14.5">
      <c r="B6" s="1" t="s">
        <v>484</v>
      </c>
      <c r="C6" s="8">
        <f>可比公司估值!H26</f>
        <v>63.24926082221068</v>
      </c>
      <c r="D6" s="8">
        <f>可比公司估值!H24</f>
        <v>38.671226636768459</v>
      </c>
      <c r="E6" s="8" t="s">
        <v>480</v>
      </c>
      <c r="F6" s="8">
        <f>可比公司估值!H23</f>
        <v>147.25280276615322</v>
      </c>
      <c r="G6" s="1" t="s">
        <v>483</v>
      </c>
      <c r="I6" s="10">
        <f t="shared" si="0"/>
        <v>108.58157612938476</v>
      </c>
    </row>
    <row r="7" spans="2:9" ht="14.5">
      <c r="B7" s="1" t="s">
        <v>485</v>
      </c>
      <c r="C7" s="8">
        <f>可比公司估值!I26</f>
        <v>65.229900397635703</v>
      </c>
      <c r="D7" s="8">
        <f>可比公司估值!I24</f>
        <v>37.79906822314782</v>
      </c>
      <c r="E7" s="8" t="s">
        <v>480</v>
      </c>
      <c r="F7" s="8">
        <f>可比公司估值!I23</f>
        <v>173.46972727925055</v>
      </c>
      <c r="G7" s="1" t="s">
        <v>483</v>
      </c>
      <c r="I7" s="10">
        <f t="shared" si="0"/>
        <v>135.67065905610272</v>
      </c>
    </row>
    <row r="8" spans="2:9" ht="14.5">
      <c r="B8" s="1" t="s">
        <v>486</v>
      </c>
      <c r="C8" s="8">
        <f>可比公司估值!J26</f>
        <v>20.339298024719085</v>
      </c>
      <c r="D8" s="8">
        <f>可比公司估值!J24</f>
        <v>4.0785927437431422</v>
      </c>
      <c r="E8" s="8" t="s">
        <v>480</v>
      </c>
      <c r="F8" s="8">
        <f>可比公司估值!J23</f>
        <v>149.76516791692114</v>
      </c>
      <c r="G8" s="1" t="s">
        <v>483</v>
      </c>
      <c r="I8" s="10">
        <f t="shared" si="0"/>
        <v>145.686575173178</v>
      </c>
    </row>
    <row r="9" spans="2:9" ht="14.5">
      <c r="B9" s="1" t="s">
        <v>28</v>
      </c>
      <c r="C9" s="8">
        <f>可比公司估值!K26</f>
        <v>60.41602078294158</v>
      </c>
      <c r="D9" s="8">
        <f>可比公司估值!K24</f>
        <v>40.361592689082393</v>
      </c>
      <c r="E9" s="8" t="s">
        <v>480</v>
      </c>
      <c r="F9" s="8">
        <f>可比公司估值!K23</f>
        <v>131.0551794467406</v>
      </c>
      <c r="G9" s="1" t="s">
        <v>483</v>
      </c>
      <c r="I9" s="10">
        <f t="shared" si="0"/>
        <v>90.69358675765821</v>
      </c>
    </row>
  </sheetData>
  <sheetProtection formatCells="0" insertHyperlinks="0" autoFilter="0"/>
  <phoneticPr fontId="40" type="noConversion"/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3"/>
  <pixelatorList sheetStid="4"/>
  <pixelatorList sheetStid="1"/>
  <pixelatorList sheetStid="5"/>
  <pixelatorList sheetStid="9"/>
  <pixelatorList sheetStid="6"/>
  <pixelatorList sheetStid="10"/>
  <pixelatorList sheetStid="8"/>
  <pixelatorList sheetStid="2"/>
  <pixelatorList sheetStid="13"/>
  <pixelatorList sheetStid="11"/>
  <pixelatorList sheetStid="12"/>
  <pixelatorList sheetStid="14"/>
  <pixelatorList sheetStid="15"/>
</pixelators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/>
    <woSheetProps sheetStid="4" interlineOnOff="0" interlineColor="0" isDbSheet="0" isDashBoardSheet="0"/>
    <woSheetProps sheetStid="1" interlineOnOff="0" interlineColor="0" isDbSheet="0" isDashBoardSheet="0"/>
    <woSheetProps sheetStid="5" interlineOnOff="0" interlineColor="0" isDbSheet="0" isDashBoardSheet="0"/>
    <woSheetProps sheetStid="9" interlineOnOff="0" interlineColor="0" isDbSheet="0" isDashBoardSheet="0"/>
    <woSheetProps sheetStid="6" interlineOnOff="0" interlineColor="0" isDbSheet="0" isDashBoardSheet="0"/>
    <woSheetProps sheetStid="10" interlineOnOff="0" interlineColor="0" isDbSheet="0" isDashBoardSheet="0"/>
    <woSheetProps sheetStid="8" interlineOnOff="0" interlineColor="0" isDbSheet="0" isDashBoardSheet="0"/>
    <woSheetProps sheetStid="2" interlineOnOff="0" interlineColor="0" isDbSheet="0" isDashBoardSheet="0"/>
    <woSheetProps sheetStid="13" interlineOnOff="0" interlineColor="0" isDbSheet="0" isDashBoardSheet="0"/>
    <woSheetProps sheetStid="11" interlineOnOff="0" interlineColor="0" isDbSheet="0" isDashBoardSheet="0"/>
    <woSheetProps sheetStid="12" interlineOnOff="0" interlineColor="0" isDbSheet="0" isDashBoardSheet="0"/>
    <woSheetProps sheetStid="14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4" master="" otherUserPermission="visible">
    <arrUserId title="区域1" rangeCreator="" othersAccessPermission="edit"/>
  </rangeList>
  <rangeList sheetStid="1" master="" otherUserPermission="visible"/>
  <rangeList sheetStid="5" master="" otherUserPermission="visible"/>
  <rangeList sheetStid="9" master="" otherUserPermission="visible"/>
  <rangeList sheetStid="6" master="" otherUserPermission="visible"/>
  <rangeList sheetStid="10" master="" otherUserPermission="visible"/>
  <rangeList sheetStid="8" master="" otherUserPermission="visible"/>
  <rangeList sheetStid="2" master="" otherUserPermission="visible"/>
  <rangeList sheetStid="13" master="" otherUserPermission="visible"/>
  <rangeList sheetStid="11" master="" otherUserPermission="visible"/>
  <rangeList sheetStid="12" master="" otherUserPermission="visible"/>
  <rangeList sheetStid="14" master="" otherUserPermission="visible"/>
</allowEditUser>
</file>

<file path=customXml/item4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</vt:i4>
      </vt:variant>
    </vt:vector>
  </HeadingPairs>
  <TitlesOfParts>
    <vt:vector size="13" baseType="lpstr">
      <vt:lpstr>Cover</vt:lpstr>
      <vt:lpstr>Summary</vt:lpstr>
      <vt:lpstr>IS</vt:lpstr>
      <vt:lpstr>BS</vt:lpstr>
      <vt:lpstr>CF</vt:lpstr>
      <vt:lpstr>OWC</vt:lpstr>
      <vt:lpstr>DA</vt:lpstr>
      <vt:lpstr>收入拆分</vt:lpstr>
      <vt:lpstr>Assumptions</vt:lpstr>
      <vt:lpstr>FCFF估值</vt:lpstr>
      <vt:lpstr>可比公司估值</vt:lpstr>
      <vt:lpstr>估值结果汇总</vt:lpstr>
      <vt:lpstr>Assumptions!Print_Area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陈云祥</dc:creator>
  <cp:lastModifiedBy>云祥 陈</cp:lastModifiedBy>
  <dcterms:created xsi:type="dcterms:W3CDTF">2021-07-04T23:17:00Z</dcterms:created>
  <dcterms:modified xsi:type="dcterms:W3CDTF">2024-11-28T15:48:07Z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9FFFBBE452624EC28EC9D45CE40934BC_12</vt:lpwstr>
  </property>
  <property fmtid="{D5CDD505-2E9C-101B-9397-08002B2CF9AE}" pid="4" name="EM_Doc_Temp_ID">
    <vt:lpwstr>D8253637-74B7-440B-A103-08380B53C791</vt:lpwstr>
  </property>
</Properties>
</file>